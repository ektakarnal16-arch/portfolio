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" sheetId="1" state="visible" r:id="rId3"/>
    <sheet name="Raw Data" sheetId="2" state="visible" r:id="rId4"/>
    <sheet name="Monthly Summary" sheetId="3" state="visible" r:id="rId5"/>
    <sheet name="Category &amp; Reg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<sst xmlns="http://schemas.openxmlformats.org/spreadsheetml/2006/main" count="304" uniqueCount="68">
  <si>
    <t xml:space="preserve">📊  SALES REVENUE &amp; EXPENSE DASHBOARD — FISCAL YEAR 2024</t>
  </si>
  <si>
    <t xml:space="preserve">RetailCo Inc.  |  All Regions  |  Electronics · Furniture · Appliances  |  January – December 2024</t>
  </si>
  <si>
    <t xml:space="preserve">💰 TOTAL REVENUE</t>
  </si>
  <si>
    <t xml:space="preserve">💸 TOTAL EXPENSES</t>
  </si>
  <si>
    <t xml:space="preserve">📈 GROSS PROFIT</t>
  </si>
  <si>
    <t xml:space="preserve">🎯 AVG PROFIT MARGIN</t>
  </si>
  <si>
    <t xml:space="preserve">vs. Prior Target  ↑</t>
  </si>
  <si>
    <t xml:space="preserve">✅ Revenue vs Target: All Months</t>
  </si>
  <si>
    <t xml:space="preserve">📦 Total Units Sold</t>
  </si>
  <si>
    <t xml:space="preserve">🏆 Best Month (Revenue)</t>
  </si>
  <si>
    <t xml:space="preserve">📉 Lowest Margin Month</t>
  </si>
  <si>
    <t xml:space="preserve">MONTHLY REVENUE vs EXPENSES vs TARGET</t>
  </si>
  <si>
    <t xml:space="preserve">PROFIT MARGIN BY MONTH (%)</t>
  </si>
  <si>
    <t xml:space="preserve">PERFORMANCE SUMMARY BY CATEGORY</t>
  </si>
  <si>
    <t xml:space="preserve">Chart Data — Monthly</t>
  </si>
  <si>
    <t xml:space="preserve">Month</t>
  </si>
  <si>
    <t xml:space="preserve">Revenue</t>
  </si>
  <si>
    <t xml:space="preserve">Expenses</t>
  </si>
  <si>
    <t xml:space="preserve">Target</t>
  </si>
  <si>
    <t xml:space="preserve">Profit Margin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</si>
  <si>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</si>
  <si>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</si>
  <si>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</si>
  <si>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</si>
  <si>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</si>
  <si>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</si>
  <si>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</si>
  <si>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</si>
  <si>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</si>
  <si>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</si>
  <si>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</si>
  <si>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</si>
  <si>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Category</t>
  </si>
  <si>
    <t xml:space="preserve">Gross Profit</t>
  </si>
  <si>
    <t xml:space="preserve">Margin %</t>
  </si>
  <si>
    <t xml:space="preserve">Region</t>
  </si>
  <si>
    <t xml:space="preserve">Month_Num</t>
  </si>
  <si>
    <t xml:space="preserve">Revenue ($)</t>
  </si>
  <si>
    <t xml:space="preserve">Expenses ($)</t>
  </si>
  <si>
    <t xml:space="preserve">Units Sold</t>
  </si>
  <si>
    <t xml:space="preserve">Revenue Target ($)</t>
  </si>
  <si>
    <t xml:space="preserve">Profit ($)</t>
  </si>
  <si>
    <t xml:space="preserve">Profit Margin (%)</t>
  </si>
  <si>
    <t xml:space="preserve">vs Target ($)</t>
  </si>
  <si>
    <t xml:space="preserve">vs Target (%)</t>
  </si>
  <si>
    <t xml:space="preserve">North</t>
  </si>
  <si>
    <t xml:space="preserve">Electronics</t>
  </si>
  <si>
    <t xml:space="preserve">South</t>
  </si>
  <si>
    <t xml:space="preserve">East</t>
  </si>
  <si>
    <t xml:space="preserve">Furniture</t>
  </si>
  <si>
    <t xml:space="preserve">West</t>
  </si>
  <si>
    <t xml:space="preserve">Appliances</t>
  </si>
  <si>
    <t xml:space="preserve">Monthly Revenue &amp; Performance Summary</t>
  </si>
  <si>
    <t xml:space="preserve">RetailCo Inc. | Fiscal Year 2024 | All Regions &amp; Categories</t>
  </si>
  <si>
    <t xml:space="preserve">Total Revenue</t>
  </si>
  <si>
    <t xml:space="preserve">Total Expenses</t>
  </si>
  <si>
    <t xml:space="preserve">Revenue Target</t>
  </si>
  <si>
    <t xml:space="preserve">FULL YEAR TOTAL</t>
  </si>
  <si>
    <t xml:space="preserve">Month-over-Month Revenue Growth</t>
  </si>
  <si>
    <t xml:space="preserve">Prior Month</t>
  </si>
  <si>
    <t xml:space="preserve">MoM Change ($)</t>
  </si>
  <si>
    <t xml:space="preserve">MoM Growth %</t>
  </si>
  <si>
    <t xml:space="preserve">—</t>
  </si>
  <si>
    <t xml:space="preserve">Revenue Breakdown by Category &amp; Region</t>
  </si>
  <si>
    <t xml:space="preserve">By Category — Annual Revenue</t>
  </si>
  <si>
    <t xml:space="preserve">Avg Margin</t>
  </si>
  <si>
    <t xml:space="preserve">TOTAL</t>
  </si>
  <si>
    <t xml:space="preserve">By Region — Annual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</si>
</sst>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F766E"/>
      <name val="Arial"/>
      <family val="0"/>
      <charset val="1"/>
    </font>
    <font>
      <b val="true"/>
      <sz val="22"/>
      <color rgb="FFD97706"/>
      <name val="Arial"/>
      <family val="0"/>
      <charset val="1"/>
    </font>
    <font>
      <b val="true"/>
      <sz val="22"/>
      <color rgb="FF16A34A"/>
      <name val="Arial"/>
      <family val="0"/>
      <charset val="1"/>
    </font>
    <font>
      <b val="true"/>
      <sz val="22"/>
      <color rgb="FF7C3AED"/>
      <name val="Arial"/>
      <family val="0"/>
      <charset val="1"/>
    </font>
    <font>
      <i val="true"/>
      <sz val="9"/>
      <color rgb="FF0F766E"/>
      <name val="Arial"/>
      <family val="0"/>
      <charset val="1"/>
    </font>
    <font>
      <i val="true"/>
      <sz val="9"/>
      <color rgb="FFD97706"/>
      <name val="Arial"/>
      <family val="0"/>
      <charset val="1"/>
    </font>
    <font>
      <i val="true"/>
      <sz val="9"/>
      <color rgb="FF16A34A"/>
      <name val="Arial"/>
      <family val="0"/>
      <charset val="1"/>
    </font>
    <font>
      <i val="true"/>
      <sz val="9"/>
      <color rgb="FF7C3AED"/>
      <name val="Arial"/>
      <family val="0"/>
      <charset val="1"/>
    </font>
    <font>
      <b val="true"/>
      <sz val="18"/>
      <color rgb="FF0F766E"/>
      <name val="Arial"/>
      <family val="0"/>
      <charset val="1"/>
    </font>
    <font>
      <b val="true"/>
      <sz val="18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6B728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9FAFB"/>
        <bgColor rgb="FFF9F9F9"/>
      </patternFill>
    </fill>
    <fill>
      <patternFill patternType="solid">
        <fgColor rgb="FF0F766E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16A34A"/>
        <bgColor rgb="FF008080"/>
      </patternFill>
    </fill>
    <fill>
      <patternFill patternType="solid">
        <fgColor rgb="FF7C3AED"/>
        <bgColor rgb="FF993366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BF1"/>
      </patternFill>
    </fill>
    <fill>
      <patternFill patternType="solid">
        <fgColor rgb="FFF3E8FF"/>
        <bgColor rgb="FFFEE2E2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F3E8FF"/>
      </patternFill>
    </fill>
    <fill>
      <patternFill patternType="solid">
        <fgColor rgb="FF374151"/>
        <bgColor rgb="FF1F2937"/>
      </patternFill>
    </fill>
    <fill>
      <patternFill patternType="solid">
        <fgColor rgb="FFFFFFFF"/>
        <bgColor rgb="FFF9FA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7C3AED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9F9F9"/>
      <rgbColor rgb="FFF9FAFB"/>
      <rgbColor rgb="FFF3E8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'KPI Dashboard'!B34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Dashboard'!$A$35:$A$46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Dashboard'!$B$35:$B$46</c:f>
              <c:numCache>
                <c:formatCode>\$#,##0</c:formatCode>
                <c:ptCount val="12"/>
                <c:pt idx="0">
                  <c:v>299000</c:v>
                </c:pt>
                <c:pt idx="1">
                  <c:v>313000</c:v>
                </c:pt>
                <c:pt idx="2">
                  <c:v>352000</c:v>
                </c:pt>
                <c:pt idx="3">
                  <c:v>376000</c:v>
                </c:pt>
                <c:pt idx="4">
                  <c:v>404000</c:v>
                </c:pt>
                <c:pt idx="5">
                  <c:v>429000</c:v>
                </c:pt>
                <c:pt idx="6">
                  <c:v>393000</c:v>
                </c:pt>
                <c:pt idx="7">
                  <c:v>418000</c:v>
                </c:pt>
                <c:pt idx="8">
                  <c:v>447000</c:v>
                </c:pt>
                <c:pt idx="9">
                  <c:v>478000</c:v>
                </c:pt>
                <c:pt idx="10">
                  <c:v>524000</c:v>
                </c:pt>
                <c:pt idx="11">
                  <c:v>575000</c:v>
                </c:pt>
              </c:numCache>
            </c:numRef>
          </c:val>
        </c:ser>
        <c:ser>
          <c:idx val="1"/>
          <c:order val="1"/>
          <c:tx>
            <c:strRef>
              <c:f>'KPI Dashboard'!C34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d9770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Dashboard'!$A$35:$A$46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Dashboard'!$C$35:$C$46</c:f>
              <c:numCache>
                <c:formatCode>\$#,##0</c:formatCode>
                <c:ptCount val="12"/>
                <c:pt idx="0">
                  <c:v>187000</c:v>
                </c:pt>
                <c:pt idx="1">
                  <c:v>195000</c:v>
                </c:pt>
                <c:pt idx="2">
                  <c:v>218000</c:v>
                </c:pt>
                <c:pt idx="3">
                  <c:v>233000</c:v>
                </c:pt>
                <c:pt idx="4">
                  <c:v>249000</c:v>
                </c:pt>
                <c:pt idx="5">
                  <c:v>265000</c:v>
                </c:pt>
                <c:pt idx="6">
                  <c:v>244000</c:v>
                </c:pt>
                <c:pt idx="7">
                  <c:v>259000</c:v>
                </c:pt>
                <c:pt idx="8">
                  <c:v>275000</c:v>
                </c:pt>
                <c:pt idx="9">
                  <c:v>294000</c:v>
                </c:pt>
                <c:pt idx="10">
                  <c:v>323000</c:v>
                </c:pt>
                <c:pt idx="11">
                  <c:v>354000</c:v>
                </c:pt>
              </c:numCache>
            </c:numRef>
          </c:val>
        </c:ser>
        <c:ser>
          <c:idx val="2"/>
          <c:order val="2"/>
          <c:tx>
            <c:strRef>
              <c:f>'KPI Dashboard'!D34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6b72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Dashboard'!$A$35:$A$46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Dashboard'!$D$35:$D$46</c:f>
              <c:numCache>
                <c:formatCode>\$#,##0</c:formatCode>
                <c:ptCount val="12"/>
                <c:pt idx="0">
                  <c:v>300000</c:v>
                </c:pt>
                <c:pt idx="1">
                  <c:v>314000</c:v>
                </c:pt>
                <c:pt idx="2">
                  <c:v>339000</c:v>
                </c:pt>
                <c:pt idx="3">
                  <c:v>361000</c:v>
                </c:pt>
                <c:pt idx="4">
                  <c:v>390000</c:v>
                </c:pt>
                <c:pt idx="5">
                  <c:v>416000</c:v>
                </c:pt>
                <c:pt idx="6">
                  <c:v>409000</c:v>
                </c:pt>
                <c:pt idx="7">
                  <c:v>408000</c:v>
                </c:pt>
                <c:pt idx="8">
                  <c:v>432000</c:v>
                </c:pt>
                <c:pt idx="9">
                  <c:v>461000</c:v>
                </c:pt>
                <c:pt idx="10">
                  <c:v>504000</c:v>
                </c:pt>
                <c:pt idx="11">
                  <c:v>552000</c:v>
                </c:pt>
              </c:numCache>
            </c:numRef>
          </c:val>
        </c:ser>
        <c:gapWidth val="150"/>
        <c:overlap val="0"/>
        <c:axId val="77830277"/>
        <c:axId val="31448086"/>
      </c:barChart>
      <c:catAx>
        <c:axId val="778302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48086"/>
        <c:crosses val="autoZero"/>
        <c:auto val="1"/>
        <c:lblAlgn val="ctr"/>
        <c:lblOffset val="100"/>
        <c:noMultiLvlLbl val="0"/>
      </c:catAx>
      <c:valAx>
        <c:axId val="31448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30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'KPI Dashboard'!E34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16a34a"/>
            </a:solidFill>
            <a:ln w="2484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Dashboard'!$A$35:$A$46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Dashboard'!$E$35:$E$46</c:f>
              <c:numCache>
                <c:formatCode>0.0%</c:formatCode>
                <c:ptCount val="12"/>
                <c:pt idx="0">
                  <c:v>0.374581939799331</c:v>
                </c:pt>
                <c:pt idx="1">
                  <c:v>0.376996805111821</c:v>
                </c:pt>
                <c:pt idx="2">
                  <c:v>0.380681818181818</c:v>
                </c:pt>
                <c:pt idx="3">
                  <c:v>0.38031914893617</c:v>
                </c:pt>
                <c:pt idx="4">
                  <c:v>0.383663366336634</c:v>
                </c:pt>
                <c:pt idx="5">
                  <c:v>0.382284382284382</c:v>
                </c:pt>
                <c:pt idx="6">
                  <c:v>0.379134860050891</c:v>
                </c:pt>
                <c:pt idx="7">
                  <c:v>0.380382775119617</c:v>
                </c:pt>
                <c:pt idx="8">
                  <c:v>0.384787472035794</c:v>
                </c:pt>
                <c:pt idx="9">
                  <c:v>0.384937238493724</c:v>
                </c:pt>
                <c:pt idx="10">
                  <c:v>0.383587786259542</c:v>
                </c:pt>
                <c:pt idx="11">
                  <c:v>0.384347826086957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003421"/>
        <c:axId val="44126594"/>
      </c:lineChart>
      <c:catAx>
        <c:axId val="100034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26594"/>
        <c:crosses val="autoZero"/>
        <c:auto val="1"/>
        <c:lblAlgn val="ctr"/>
        <c:lblOffset val="100"/>
        <c:noMultiLvlLbl val="0"/>
      </c:catAx>
      <c:valAx>
        <c:axId val="44126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03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8</xdr:col>
      <xdr:colOff>135720</xdr:colOff>
      <xdr:row>34</xdr:row>
      <xdr:rowOff>42480</xdr:rowOff>
    </xdr:to>
    <xdr:graphicFrame>
      <xdr:nvGraphicFramePr>
        <xdr:cNvPr id="0" name="Chart 1"/>
        <xdr:cNvGraphicFramePr/>
      </xdr:nvGraphicFramePr>
      <xdr:xfrm>
        <a:off x="0" y="33624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16</xdr:col>
      <xdr:colOff>276480</xdr:colOff>
      <xdr:row>34</xdr:row>
      <xdr:rowOff>42480</xdr:rowOff>
    </xdr:to>
    <xdr:graphicFrame>
      <xdr:nvGraphicFramePr>
        <xdr:cNvPr id="1" name="Chart 2"/>
        <xdr:cNvGraphicFramePr/>
      </xdr:nvGraphicFramePr>
      <xdr:xfrm>
        <a:off x="6343560" y="336240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16" min="2" style="1" width="11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9.75" hidden="false" customHeight="true" outlineLevel="0" collapsed="false"/>
    <row r="4" customFormat="false" ht="19.5" hidden="false" customHeight="true" outlineLevel="0" collapsed="false">
      <c r="A4" s="4" t="s">
        <v>2</v>
      </c>
      <c r="B4" s="4"/>
      <c r="C4" s="4"/>
      <c r="D4" s="4"/>
      <c r="E4" s="5" t="s">
        <v>3</v>
      </c>
      <c r="F4" s="5"/>
      <c r="G4" s="5"/>
      <c r="H4" s="5"/>
      <c r="I4" s="6" t="s">
        <v>4</v>
      </c>
      <c r="J4" s="6"/>
      <c r="K4" s="6"/>
      <c r="L4" s="6"/>
      <c r="M4" s="7" t="s">
        <v>5</v>
      </c>
      <c r="N4" s="7"/>
      <c r="O4" s="7"/>
      <c r="P4" s="7"/>
    </row>
    <row r="5" customFormat="false" ht="36" hidden="false" customHeight="true" outlineLevel="0" collapsed="false">
      <c r="A5" s="8" t="n">
        <f aca="false">'Monthly Summary'!B17</f>
        <v>5008000</v>
      </c>
      <c r="B5" s="8"/>
      <c r="C5" s="8"/>
      <c r="D5" s="8"/>
      <c r="E5" s="9" t="n">
        <f aca="false">'Monthly Summary'!C17</f>
        <v>3096000</v>
      </c>
      <c r="F5" s="9"/>
      <c r="G5" s="9"/>
      <c r="H5" s="9"/>
      <c r="I5" s="10" t="n">
        <f aca="false">'Monthly Summary'!D17</f>
        <v>1912000</v>
      </c>
      <c r="J5" s="10"/>
      <c r="K5" s="10"/>
      <c r="L5" s="10"/>
      <c r="M5" s="11" t="n">
        <f aca="false">'Monthly Summary'!E17</f>
        <v>0.381789137380192</v>
      </c>
      <c r="N5" s="11"/>
      <c r="O5" s="11"/>
      <c r="P5" s="11"/>
    </row>
    <row r="6" customFormat="false" ht="13.5" hidden="false" customHeight="true" outlineLevel="0" collapsed="false">
      <c r="A6" s="8"/>
      <c r="B6" s="8"/>
      <c r="C6" s="8"/>
      <c r="D6" s="8"/>
      <c r="E6" s="9"/>
      <c r="F6" s="9"/>
      <c r="G6" s="9"/>
      <c r="H6" s="9"/>
      <c r="I6" s="10"/>
      <c r="J6" s="10"/>
      <c r="K6" s="10"/>
      <c r="L6" s="10"/>
      <c r="M6" s="11"/>
      <c r="N6" s="11"/>
      <c r="O6" s="11"/>
      <c r="P6" s="11"/>
    </row>
    <row r="7" customFormat="false" ht="15.75" hidden="false" customHeight="true" outlineLevel="0" collapsed="false">
      <c r="A7" s="12" t="s">
        <v>6</v>
      </c>
      <c r="B7" s="12"/>
      <c r="C7" s="12"/>
      <c r="D7" s="12"/>
      <c r="E7" s="13" t="s">
        <v>6</v>
      </c>
      <c r="F7" s="13"/>
      <c r="G7" s="13"/>
      <c r="H7" s="13"/>
      <c r="I7" s="14" t="s">
        <v>6</v>
      </c>
      <c r="J7" s="14"/>
      <c r="K7" s="14"/>
      <c r="L7" s="14"/>
      <c r="M7" s="15" t="s">
        <v>6</v>
      </c>
      <c r="N7" s="15"/>
      <c r="O7" s="15"/>
      <c r="P7" s="15"/>
    </row>
    <row r="8" customFormat="false" ht="19.5" hidden="false" customHeight="true" outlineLevel="0" collapsed="false">
      <c r="A8" s="6" t="s">
        <v>7</v>
      </c>
      <c r="B8" s="6"/>
      <c r="C8" s="6"/>
      <c r="D8" s="6"/>
      <c r="E8" s="5" t="s">
        <v>8</v>
      </c>
      <c r="F8" s="5"/>
      <c r="G8" s="5"/>
      <c r="H8" s="5"/>
      <c r="I8" s="4" t="s">
        <v>9</v>
      </c>
      <c r="J8" s="4"/>
      <c r="K8" s="4"/>
      <c r="L8" s="4"/>
      <c r="M8" s="16" t="s">
        <v>10</v>
      </c>
      <c r="N8" s="16"/>
      <c r="O8" s="16"/>
      <c r="P8" s="16"/>
    </row>
    <row r="9" customFormat="false" ht="36" hidden="false" customHeight="true" outlineLevel="0" collapsed="false">
      <c r="A9" s="10" t="n">
        <f aca="false">'Monthly Summary'!G17</f>
        <v>122000</v>
      </c>
      <c r="B9" s="10"/>
      <c r="C9" s="10"/>
      <c r="D9" s="10"/>
      <c r="E9" s="17" t="n">
        <f aca="false">SUMPRODUCT(('Raw Data'!B2:B1000&gt;0)*'Raw Data'!G2:G1000)</f>
        <v>25035</v>
      </c>
      <c r="F9" s="17"/>
      <c r="G9" s="17"/>
      <c r="H9" s="17"/>
      <c r="I9" s="18" t="str">
        <f aca="false">INDEX('Monthly Summary'!A5:A16,MATCH(MAX('Monthly Summary'!B5:B16),'Monthly Summary'!B5:B16,0))</f>
        <v>December</v>
      </c>
      <c r="J9" s="18"/>
      <c r="K9" s="18"/>
      <c r="L9" s="18"/>
      <c r="M9" s="19" t="str">
        <f aca="false">INDEX('Monthly Summary'!A5:A16,MATCH(MIN('Monthly Summary'!E5:E16),'Monthly Summary'!E5:E16,0))</f>
        <v>January</v>
      </c>
      <c r="N9" s="19"/>
      <c r="O9" s="19"/>
      <c r="P9" s="19"/>
    </row>
    <row r="10" customFormat="false" ht="19.5" hidden="false" customHeight="true" outlineLevel="0" collapsed="false">
      <c r="A10" s="10"/>
      <c r="B10" s="10"/>
      <c r="C10" s="10"/>
      <c r="D10" s="10"/>
      <c r="E10" s="17"/>
      <c r="F10" s="17"/>
      <c r="G10" s="17"/>
      <c r="H10" s="17"/>
      <c r="I10" s="18"/>
      <c r="J10" s="18"/>
      <c r="K10" s="18"/>
      <c r="L10" s="18"/>
      <c r="M10" s="19"/>
      <c r="N10" s="19"/>
      <c r="O10" s="19"/>
      <c r="P10" s="19"/>
    </row>
    <row r="11" customFormat="false" ht="12" hidden="false" customHeight="true" outlineLevel="0" collapsed="false"/>
    <row r="12" customFormat="false" ht="21.75" hidden="false" customHeight="true" outlineLevel="0" collapsed="false">
      <c r="A12" s="20" t="s">
        <v>11</v>
      </c>
      <c r="B12" s="20"/>
      <c r="C12" s="20"/>
      <c r="D12" s="20"/>
      <c r="E12" s="20"/>
      <c r="F12" s="20"/>
      <c r="G12" s="20"/>
      <c r="H12" s="20"/>
      <c r="I12" s="20" t="s">
        <v>12</v>
      </c>
      <c r="J12" s="20"/>
      <c r="K12" s="20"/>
      <c r="L12" s="20"/>
      <c r="M12" s="20"/>
      <c r="N12" s="20"/>
      <c r="O12" s="20"/>
      <c r="P12" s="20"/>
    </row>
    <row r="32" customFormat="false" ht="21.75" hidden="false" customHeight="true" outlineLevel="0" collapsed="false">
      <c r="A32" s="20" t="s">
        <v>13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customFormat="false" ht="15" hidden="false" customHeight="true" outlineLevel="0" collapsed="false">
      <c r="A33" s="21" t="s">
        <v>14</v>
      </c>
    </row>
    <row r="34" customFormat="false" ht="15" hidden="false" customHeight="true" outlineLevel="0" collapsed="false">
      <c r="A34" s="22" t="s">
        <v>15</v>
      </c>
      <c r="B34" s="22" t="s">
        <v>16</v>
      </c>
      <c r="C34" s="22" t="s">
        <v>17</v>
      </c>
      <c r="D34" s="22" t="s">
        <v>18</v>
      </c>
      <c r="E34" s="22" t="s">
        <v>19</v>
      </c>
    </row>
    <row r="35" customFormat="false" ht="15" hidden="false" customHeight="true" outlineLevel="0" collapsed="false">
      <c r="A35" s="1" t="s">
        <v>20</v>
      </c>
      <c r="B35" s="23" t="n">
        <f aca="false">'Monthly Summary'!B5</f>
        <v>299000</v>
      </c>
      <c r="C35" s="23" t="n">
        <f aca="false">'Monthly Summary'!C5</f>
        <v>187000</v>
      </c>
      <c r="D35" s="23" t="n">
        <f aca="false">'Monthly Summary'!F5</f>
        <v>300000</v>
      </c>
      <c r="E35" s="24" t="n">
        <f aca="false">'Monthly Summary'!E5</f>
        <v>0.374581939799331</v>
      </c>
    </row>
    <row r="36" customFormat="false" ht="15" hidden="false" customHeight="true" outlineLevel="0" collapsed="false">
      <c r="A36" s="1" t="s">
        <v>21</v>
      </c>
      <c r="B36" s="23" t="n">
        <f aca="false">'Monthly Summary'!B6</f>
        <v>313000</v>
      </c>
      <c r="C36" s="23" t="n">
        <f aca="false">'Monthly Summary'!C6</f>
        <v>195000</v>
      </c>
      <c r="D36" s="23" t="n">
        <f aca="false">'Monthly Summary'!F6</f>
        <v>314000</v>
      </c>
      <c r="E36" s="24" t="n">
        <f aca="false">'Monthly Summary'!E6</f>
        <v>0.376996805111821</v>
      </c>
    </row>
    <row r="37" customFormat="false" ht="15" hidden="false" customHeight="true" outlineLevel="0" collapsed="false">
      <c r="A37" s="1" t="s">
        <v>22</v>
      </c>
      <c r="B37" s="23" t="n">
        <f aca="false">'Monthly Summary'!B7</f>
        <v>352000</v>
      </c>
      <c r="C37" s="23" t="n">
        <f aca="false">'Monthly Summary'!C7</f>
        <v>218000</v>
      </c>
      <c r="D37" s="23" t="n">
        <f aca="false">'Monthly Summary'!F7</f>
        <v>339000</v>
      </c>
      <c r="E37" s="24" t="n">
        <f aca="false">'Monthly Summary'!E7</f>
        <v>0.380681818181818</v>
      </c>
    </row>
    <row r="38" customFormat="false" ht="15" hidden="false" customHeight="true" outlineLevel="0" collapsed="false">
      <c r="A38" s="1" t="s">
        <v>23</v>
      </c>
      <c r="B38" s="23" t="n">
        <f aca="false">'Monthly Summary'!B8</f>
        <v>376000</v>
      </c>
      <c r="C38" s="23" t="n">
        <f aca="false">'Monthly Summary'!C8</f>
        <v>233000</v>
      </c>
      <c r="D38" s="23" t="n">
        <f aca="false">'Monthly Summary'!F8</f>
        <v>361000</v>
      </c>
      <c r="E38" s="24" t="n">
        <f aca="false">'Monthly Summary'!E8</f>
        <v>0.38031914893617</v>
      </c>
    </row>
    <row r="39" customFormat="false" ht="15" hidden="false" customHeight="true" outlineLevel="0" collapsed="false">
      <c r="A39" s="1" t="s">
        <v>24</v>
      </c>
      <c r="B39" s="23" t="n">
        <f aca="false">'Monthly Summary'!B9</f>
        <v>404000</v>
      </c>
      <c r="C39" s="23" t="n">
        <f aca="false">'Monthly Summary'!C9</f>
        <v>249000</v>
      </c>
      <c r="D39" s="23" t="n">
        <f aca="false">'Monthly Summary'!F9</f>
        <v>390000</v>
      </c>
      <c r="E39" s="24" t="n">
        <f aca="false">'Monthly Summary'!E9</f>
        <v>0.383663366336634</v>
      </c>
    </row>
    <row r="40" customFormat="false" ht="15" hidden="false" customHeight="true" outlineLevel="0" collapsed="false">
      <c r="A40" s="1" t="s">
        <v>25</v>
      </c>
      <c r="B40" s="23" t="n">
        <f aca="false">'Monthly Summary'!B10</f>
        <v>429000</v>
      </c>
      <c r="C40" s="23" t="n">
        <f aca="false">'Monthly Summary'!C10</f>
        <v>265000</v>
      </c>
      <c r="D40" s="23" t="n">
        <f aca="false">'Monthly Summary'!F10</f>
        <v>416000</v>
      </c>
      <c r="E40" s="24" t="n">
        <f aca="false">'Monthly Summary'!E10</f>
        <v>0.382284382284382</v>
      </c>
    </row>
    <row r="41" customFormat="false" ht="15" hidden="false" customHeight="true" outlineLevel="0" collapsed="false">
      <c r="A41" s="1" t="s">
        <v>26</v>
      </c>
      <c r="B41" s="23" t="n">
        <f aca="false">'Monthly Summary'!B11</f>
        <v>393000</v>
      </c>
      <c r="C41" s="23" t="n">
        <f aca="false">'Monthly Summary'!C11</f>
        <v>244000</v>
      </c>
      <c r="D41" s="23" t="n">
        <f aca="false">'Monthly Summary'!F11</f>
        <v>409000</v>
      </c>
      <c r="E41" s="24" t="n">
        <f aca="false">'Monthly Summary'!E11</f>
        <v>0.379134860050891</v>
      </c>
    </row>
    <row r="42" customFormat="false" ht="15" hidden="false" customHeight="true" outlineLevel="0" collapsed="false">
      <c r="A42" s="1" t="s">
        <v>27</v>
      </c>
      <c r="B42" s="23" t="n">
        <f aca="false">'Monthly Summary'!B12</f>
        <v>418000</v>
      </c>
      <c r="C42" s="23" t="n">
        <f aca="false">'Monthly Summary'!C12</f>
        <v>259000</v>
      </c>
      <c r="D42" s="23" t="n">
        <f aca="false">'Monthly Summary'!F12</f>
        <v>408000</v>
      </c>
      <c r="E42" s="24" t="n">
        <f aca="false">'Monthly Summary'!E12</f>
        <v>0.380382775119617</v>
      </c>
    </row>
    <row r="43" customFormat="false" ht="15" hidden="false" customHeight="true" outlineLevel="0" collapsed="false">
      <c r="A43" s="1" t="s">
        <v>28</v>
      </c>
      <c r="B43" s="23" t="n">
        <f aca="false">'Monthly Summary'!B13</f>
        <v>447000</v>
      </c>
      <c r="C43" s="23" t="n">
        <f aca="false">'Monthly Summary'!C13</f>
        <v>275000</v>
      </c>
      <c r="D43" s="23" t="n">
        <f aca="false">'Monthly Summary'!F13</f>
        <v>432000</v>
      </c>
      <c r="E43" s="24" t="n">
        <f aca="false">'Monthly Summary'!E13</f>
        <v>0.384787472035794</v>
      </c>
    </row>
    <row r="44" customFormat="false" ht="15" hidden="false" customHeight="true" outlineLevel="0" collapsed="false">
      <c r="A44" s="1" t="s">
        <v>29</v>
      </c>
      <c r="B44" s="23" t="n">
        <f aca="false">'Monthly Summary'!B14</f>
        <v>478000</v>
      </c>
      <c r="C44" s="23" t="n">
        <f aca="false">'Monthly Summary'!C14</f>
        <v>294000</v>
      </c>
      <c r="D44" s="23" t="n">
        <f aca="false">'Monthly Summary'!F14</f>
        <v>461000</v>
      </c>
      <c r="E44" s="24" t="n">
        <f aca="false">'Monthly Summary'!E14</f>
        <v>0.384937238493724</v>
      </c>
    </row>
    <row r="45" customFormat="false" ht="15" hidden="false" customHeight="true" outlineLevel="0" collapsed="false">
      <c r="A45" s="1" t="s">
        <v>30</v>
      </c>
      <c r="B45" s="23" t="n">
        <f aca="false">'Monthly Summary'!B15</f>
        <v>524000</v>
      </c>
      <c r="C45" s="23" t="n">
        <f aca="false">'Monthly Summary'!C15</f>
        <v>323000</v>
      </c>
      <c r="D45" s="23" t="n">
        <f aca="false">'Monthly Summary'!F15</f>
        <v>504000</v>
      </c>
      <c r="E45" s="24" t="n">
        <f aca="false">'Monthly Summary'!E15</f>
        <v>0.383587786259542</v>
      </c>
    </row>
    <row r="46" customFormat="false" ht="15" hidden="false" customHeight="true" outlineLevel="0" collapsed="false">
      <c r="A46" s="1" t="s">
        <v>31</v>
      </c>
      <c r="B46" s="23" t="n">
        <f aca="false">'Monthly Summary'!B16</f>
        <v>575000</v>
      </c>
      <c r="C46" s="23" t="n">
        <f aca="false">'Monthly Summary'!C16</f>
        <v>354000</v>
      </c>
      <c r="D46" s="23" t="n">
        <f aca="false">'Monthly Summary'!F16</f>
        <v>552000</v>
      </c>
      <c r="E46" s="24" t="n">
        <f aca="false">'Monthly Summary'!E16</f>
        <v>0.384347826086957</v>
      </c>
    </row>
    <row r="48" customFormat="false" ht="15" hidden="false" customHeight="true" outlineLevel="0" collapsed="false">
      <c r="A48" s="25" t="s">
        <v>32</v>
      </c>
      <c r="B48" s="25" t="s">
        <v>16</v>
      </c>
      <c r="C48" s="25" t="s">
        <v>17</v>
      </c>
      <c r="D48" s="25" t="s">
        <v>33</v>
      </c>
      <c r="E48" s="25" t="s">
        <v>34</v>
      </c>
      <c r="H48" s="25" t="s">
        <v>35</v>
      </c>
      <c r="I48" s="25" t="s">
        <v>16</v>
      </c>
      <c r="J48" s="25" t="s">
        <v>17</v>
      </c>
      <c r="K48" s="25" t="s">
        <v>33</v>
      </c>
      <c r="L48" s="25" t="s">
        <v>34</v>
      </c>
    </row>
    <row r="49" customFormat="false" ht="15" hidden="false" customHeight="true" outlineLevel="0" collapsed="false">
      <c r="A49" s="26" t="str">
        <f aca="false">'Category &amp; Region'!A5</f>
        <v>Electronics</v>
      </c>
      <c r="B49" s="27" t="n">
        <f aca="false">'Category &amp; Region'!B5</f>
        <v>2419000</v>
      </c>
      <c r="C49" s="27" t="n">
        <f aca="false">'Category &amp; Region'!C5</f>
        <v>1470000</v>
      </c>
      <c r="D49" s="27" t="n">
        <f aca="false">'Category &amp; Region'!D5</f>
        <v>949000</v>
      </c>
      <c r="E49" s="28" t="n">
        <f aca="false">'Category &amp; Region'!E5</f>
        <v>0.392310872261265</v>
      </c>
      <c r="H49" s="26" t="str">
        <f aca="false">'Category &amp; Region'!A12</f>
        <v>North</v>
      </c>
      <c r="I49" s="27" t="n">
        <f aca="false">'Category &amp; Region'!B12</f>
        <v>2571000</v>
      </c>
      <c r="J49" s="27" t="n">
        <f aca="false">'Category &amp; Region'!C12</f>
        <v>1562000</v>
      </c>
      <c r="K49" s="27" t="n">
        <f aca="false">'Category &amp; Region'!D12</f>
        <v>1009000</v>
      </c>
      <c r="L49" s="28" t="n">
        <f aca="false">'Category &amp; Region'!E12</f>
        <v>0.392454297938545</v>
      </c>
    </row>
    <row r="50" customFormat="false" ht="15" hidden="false" customHeight="true" outlineLevel="0" collapsed="false">
      <c r="A50" s="29" t="str">
        <f aca="false">'Category &amp; Region'!A6</f>
        <v>Furniture</v>
      </c>
      <c r="B50" s="30" t="n">
        <f aca="false">'Category &amp; Region'!B6</f>
        <v>1406000</v>
      </c>
      <c r="C50" s="30" t="n">
        <f aca="false">'Category &amp; Region'!C6</f>
        <v>899000</v>
      </c>
      <c r="D50" s="30" t="n">
        <f aca="false">'Category &amp; Region'!D6</f>
        <v>507000</v>
      </c>
      <c r="E50" s="31" t="n">
        <f aca="false">'Category &amp; Region'!E6</f>
        <v>0.360597439544808</v>
      </c>
      <c r="H50" s="29" t="str">
        <f aca="false">'Category &amp; Region'!A13</f>
        <v>South</v>
      </c>
      <c r="I50" s="30" t="n">
        <f aca="false">'Category &amp; Region'!B13</f>
        <v>1031000</v>
      </c>
      <c r="J50" s="30" t="n">
        <f aca="false">'Category &amp; Region'!C13</f>
        <v>635000</v>
      </c>
      <c r="K50" s="30" t="n">
        <f aca="false">'Category &amp; Region'!D13</f>
        <v>396000</v>
      </c>
      <c r="L50" s="31" t="n">
        <f aca="false">'Category &amp; Region'!E13</f>
        <v>0.384093113482056</v>
      </c>
    </row>
    <row r="51" customFormat="false" ht="15" hidden="false" customHeight="true" outlineLevel="0" collapsed="false">
      <c r="A51" s="26" t="str">
        <f aca="false">'Category &amp; Region'!A7</f>
        <v>Appliances</v>
      </c>
      <c r="B51" s="27" t="n">
        <f aca="false">'Category &amp; Region'!B7</f>
        <v>1183000</v>
      </c>
      <c r="C51" s="27" t="n">
        <f aca="false">'Category &amp; Region'!C7</f>
        <v>727000</v>
      </c>
      <c r="D51" s="27" t="n">
        <f aca="false">'Category &amp; Region'!D7</f>
        <v>456000</v>
      </c>
      <c r="E51" s="28" t="n">
        <f aca="false">'Category &amp; Region'!E7</f>
        <v>0.385460693153001</v>
      </c>
      <c r="H51" s="26" t="str">
        <f aca="false">'Category &amp; Region'!A14</f>
        <v>East</v>
      </c>
      <c r="I51" s="27" t="n">
        <f aca="false">'Category &amp; Region'!B14</f>
        <v>746000</v>
      </c>
      <c r="J51" s="27" t="n">
        <f aca="false">'Category &amp; Region'!C14</f>
        <v>472000</v>
      </c>
      <c r="K51" s="27" t="n">
        <f aca="false">'Category &amp; Region'!D14</f>
        <v>274000</v>
      </c>
      <c r="L51" s="28" t="n">
        <f aca="false">'Category &amp; Region'!E14</f>
        <v>0.367292225201072</v>
      </c>
    </row>
    <row r="52" customFormat="false" ht="15" hidden="false" customHeight="true" outlineLevel="0" collapsed="false">
      <c r="H52" s="29" t="str">
        <f aca="false">'Category &amp; Region'!A15</f>
        <v>West</v>
      </c>
      <c r="I52" s="30" t="n">
        <f aca="false">'Category &amp; Region'!B15</f>
        <v>660000</v>
      </c>
      <c r="J52" s="30" t="n">
        <f aca="false">'Category &amp; Region'!C15</f>
        <v>427000</v>
      </c>
      <c r="K52" s="30" t="n">
        <f aca="false">'Category &amp; Region'!D15</f>
        <v>233000</v>
      </c>
      <c r="L52" s="31" t="n">
        <f aca="false">'Category &amp; Region'!E15</f>
        <v>0.353030303030303</v>
      </c>
    </row>
  </sheetData>
  <mergeCells count="25">
    <mergeCell ref="A1:N1"/>
    <mergeCell ref="A2:N2"/>
    <mergeCell ref="A4:D4"/>
    <mergeCell ref="E4:H4"/>
    <mergeCell ref="I4:L4"/>
    <mergeCell ref="M4:P4"/>
    <mergeCell ref="A5:D6"/>
    <mergeCell ref="E5:H6"/>
    <mergeCell ref="I5:L6"/>
    <mergeCell ref="M5:P6"/>
    <mergeCell ref="A7:D7"/>
    <mergeCell ref="E7:H7"/>
    <mergeCell ref="I7:L7"/>
    <mergeCell ref="M7:P7"/>
    <mergeCell ref="A8:D8"/>
    <mergeCell ref="E8:H8"/>
    <mergeCell ref="I8:L8"/>
    <mergeCell ref="M8:P8"/>
    <mergeCell ref="A9:D10"/>
    <mergeCell ref="E9:H10"/>
    <mergeCell ref="I9:L10"/>
    <mergeCell ref="M9:P10"/>
    <mergeCell ref="A12:H12"/>
    <mergeCell ref="I12:P12"/>
    <mergeCell ref="A32:P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9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2" min="11" style="1" width="14"/>
  </cols>
  <sheetData>
    <row r="1" customFormat="false" ht="15" hidden="false" customHeight="true" outlineLevel="0" collapsed="false">
      <c r="A1" s="32" t="s">
        <v>15</v>
      </c>
      <c r="B1" s="32" t="s">
        <v>36</v>
      </c>
      <c r="C1" s="32" t="s">
        <v>35</v>
      </c>
      <c r="D1" s="32" t="s">
        <v>32</v>
      </c>
      <c r="E1" s="32" t="s">
        <v>37</v>
      </c>
      <c r="F1" s="32" t="s">
        <v>38</v>
      </c>
      <c r="G1" s="32" t="s">
        <v>39</v>
      </c>
      <c r="H1" s="32" t="s">
        <v>40</v>
      </c>
      <c r="I1" s="32" t="s">
        <v>41</v>
      </c>
      <c r="J1" s="32" t="s">
        <v>42</v>
      </c>
      <c r="K1" s="32" t="s">
        <v>43</v>
      </c>
      <c r="L1" s="32" t="s">
        <v>44</v>
      </c>
    </row>
    <row r="2" customFormat="false" ht="15" hidden="false" customHeight="true" outlineLevel="0" collapsed="false">
      <c r="A2" s="33" t="s">
        <v>20</v>
      </c>
      <c r="B2" s="34" t="n">
        <v>1</v>
      </c>
      <c r="C2" s="34" t="s">
        <v>45</v>
      </c>
      <c r="D2" s="34" t="s">
        <v>46</v>
      </c>
      <c r="E2" s="35" t="n">
        <v>85000</v>
      </c>
      <c r="F2" s="35" t="n">
        <v>52000</v>
      </c>
      <c r="G2" s="34" t="n">
        <v>420</v>
      </c>
      <c r="H2" s="35" t="n">
        <v>80000</v>
      </c>
      <c r="I2" s="35" t="n">
        <f aca="false">E2-F2</f>
        <v>33000</v>
      </c>
      <c r="J2" s="36" t="n">
        <f aca="false">IF(E2&gt;0,I2/E2,0)</f>
        <v>0.388235294117647</v>
      </c>
      <c r="K2" s="35" t="n">
        <f aca="false">E2-H2</f>
        <v>5000</v>
      </c>
      <c r="L2" s="36" t="n">
        <f aca="false">IF(H2&gt;0,K2/H2,0)</f>
        <v>0.0625</v>
      </c>
    </row>
    <row r="3" customFormat="false" ht="15" hidden="false" customHeight="true" outlineLevel="0" collapsed="false">
      <c r="A3" s="37" t="s">
        <v>20</v>
      </c>
      <c r="B3" s="38" t="n">
        <v>1</v>
      </c>
      <c r="C3" s="38" t="s">
        <v>47</v>
      </c>
      <c r="D3" s="38" t="s">
        <v>46</v>
      </c>
      <c r="E3" s="39" t="n">
        <v>62000</v>
      </c>
      <c r="F3" s="39" t="n">
        <v>38000</v>
      </c>
      <c r="G3" s="38" t="n">
        <v>310</v>
      </c>
      <c r="H3" s="39" t="n">
        <v>65000</v>
      </c>
      <c r="I3" s="39" t="n">
        <f aca="false">E3-F3</f>
        <v>24000</v>
      </c>
      <c r="J3" s="40" t="n">
        <f aca="false">IF(E3&gt;0,I3/E3,0)</f>
        <v>0.387096774193548</v>
      </c>
      <c r="K3" s="39" t="n">
        <f aca="false">E3-H3</f>
        <v>-3000</v>
      </c>
      <c r="L3" s="40" t="n">
        <f aca="false">IF(H3&gt;0,K3/H3,0)</f>
        <v>-0.0461538461538462</v>
      </c>
    </row>
    <row r="4" customFormat="false" ht="15" hidden="false" customHeight="true" outlineLevel="0" collapsed="false">
      <c r="A4" s="33" t="s">
        <v>20</v>
      </c>
      <c r="B4" s="34" t="n">
        <v>1</v>
      </c>
      <c r="C4" s="34" t="s">
        <v>48</v>
      </c>
      <c r="D4" s="34" t="s">
        <v>49</v>
      </c>
      <c r="E4" s="35" t="n">
        <v>43000</v>
      </c>
      <c r="F4" s="35" t="n">
        <v>28000</v>
      </c>
      <c r="G4" s="34" t="n">
        <v>215</v>
      </c>
      <c r="H4" s="35" t="n">
        <v>45000</v>
      </c>
      <c r="I4" s="35" t="n">
        <f aca="false">E4-F4</f>
        <v>15000</v>
      </c>
      <c r="J4" s="36" t="n">
        <f aca="false">IF(E4&gt;0,I4/E4,0)</f>
        <v>0.348837209302326</v>
      </c>
      <c r="K4" s="35" t="n">
        <f aca="false">E4-H4</f>
        <v>-2000</v>
      </c>
      <c r="L4" s="36" t="n">
        <f aca="false">IF(H4&gt;0,K4/H4,0)</f>
        <v>-0.0444444444444444</v>
      </c>
    </row>
    <row r="5" customFormat="false" ht="15" hidden="false" customHeight="true" outlineLevel="0" collapsed="false">
      <c r="A5" s="37" t="s">
        <v>20</v>
      </c>
      <c r="B5" s="38" t="n">
        <v>1</v>
      </c>
      <c r="C5" s="38" t="s">
        <v>50</v>
      </c>
      <c r="D5" s="38" t="s">
        <v>49</v>
      </c>
      <c r="E5" s="39" t="n">
        <v>38000</v>
      </c>
      <c r="F5" s="39" t="n">
        <v>25000</v>
      </c>
      <c r="G5" s="38" t="n">
        <v>190</v>
      </c>
      <c r="H5" s="39" t="n">
        <v>40000</v>
      </c>
      <c r="I5" s="39" t="n">
        <f aca="false">E5-F5</f>
        <v>13000</v>
      </c>
      <c r="J5" s="40" t="n">
        <f aca="false">IF(E5&gt;0,I5/E5,0)</f>
        <v>0.342105263157895</v>
      </c>
      <c r="K5" s="39" t="n">
        <f aca="false">E5-H5</f>
        <v>-2000</v>
      </c>
      <c r="L5" s="40" t="n">
        <f aca="false">IF(H5&gt;0,K5/H5,0)</f>
        <v>-0.05</v>
      </c>
    </row>
    <row r="6" customFormat="false" ht="15" hidden="false" customHeight="true" outlineLevel="0" collapsed="false">
      <c r="A6" s="33" t="s">
        <v>20</v>
      </c>
      <c r="B6" s="34" t="n">
        <v>1</v>
      </c>
      <c r="C6" s="34" t="s">
        <v>45</v>
      </c>
      <c r="D6" s="34" t="s">
        <v>51</v>
      </c>
      <c r="E6" s="35" t="n">
        <v>71000</v>
      </c>
      <c r="F6" s="35" t="n">
        <v>44000</v>
      </c>
      <c r="G6" s="34" t="n">
        <v>355</v>
      </c>
      <c r="H6" s="35" t="n">
        <v>70000</v>
      </c>
      <c r="I6" s="35" t="n">
        <f aca="false">E6-F6</f>
        <v>27000</v>
      </c>
      <c r="J6" s="36" t="n">
        <f aca="false">IF(E6&gt;0,I6/E6,0)</f>
        <v>0.380281690140845</v>
      </c>
      <c r="K6" s="35" t="n">
        <f aca="false">E6-H6</f>
        <v>1000</v>
      </c>
      <c r="L6" s="36" t="n">
        <f aca="false">IF(H6&gt;0,K6/H6,0)</f>
        <v>0.0142857142857143</v>
      </c>
    </row>
    <row r="7" customFormat="false" ht="15" hidden="false" customHeight="true" outlineLevel="0" collapsed="false">
      <c r="A7" s="37" t="s">
        <v>21</v>
      </c>
      <c r="B7" s="38" t="n">
        <v>2</v>
      </c>
      <c r="C7" s="38" t="s">
        <v>45</v>
      </c>
      <c r="D7" s="38" t="s">
        <v>46</v>
      </c>
      <c r="E7" s="39" t="n">
        <v>91000</v>
      </c>
      <c r="F7" s="39" t="n">
        <v>55000</v>
      </c>
      <c r="G7" s="38" t="n">
        <v>455</v>
      </c>
      <c r="H7" s="39" t="n">
        <v>88000</v>
      </c>
      <c r="I7" s="39" t="n">
        <f aca="false">E7-F7</f>
        <v>36000</v>
      </c>
      <c r="J7" s="40" t="n">
        <f aca="false">IF(E7&gt;0,I7/E7,0)</f>
        <v>0.395604395604396</v>
      </c>
      <c r="K7" s="39" t="n">
        <f aca="false">E7-H7</f>
        <v>3000</v>
      </c>
      <c r="L7" s="40" t="n">
        <f aca="false">IF(H7&gt;0,K7/H7,0)</f>
        <v>0.0340909090909091</v>
      </c>
    </row>
    <row r="8" customFormat="false" ht="15" hidden="false" customHeight="true" outlineLevel="0" collapsed="false">
      <c r="A8" s="33" t="s">
        <v>21</v>
      </c>
      <c r="B8" s="34" t="n">
        <v>2</v>
      </c>
      <c r="C8" s="34" t="s">
        <v>47</v>
      </c>
      <c r="D8" s="34" t="s">
        <v>46</v>
      </c>
      <c r="E8" s="35" t="n">
        <v>58000</v>
      </c>
      <c r="F8" s="35" t="n">
        <v>36000</v>
      </c>
      <c r="G8" s="34" t="n">
        <v>290</v>
      </c>
      <c r="H8" s="35" t="n">
        <v>62000</v>
      </c>
      <c r="I8" s="35" t="n">
        <f aca="false">E8-F8</f>
        <v>22000</v>
      </c>
      <c r="J8" s="36" t="n">
        <f aca="false">IF(E8&gt;0,I8/E8,0)</f>
        <v>0.379310344827586</v>
      </c>
      <c r="K8" s="35" t="n">
        <f aca="false">E8-H8</f>
        <v>-4000</v>
      </c>
      <c r="L8" s="36" t="n">
        <f aca="false">IF(H8&gt;0,K8/H8,0)</f>
        <v>-0.0645161290322581</v>
      </c>
    </row>
    <row r="9" customFormat="false" ht="15" hidden="false" customHeight="true" outlineLevel="0" collapsed="false">
      <c r="A9" s="37" t="s">
        <v>21</v>
      </c>
      <c r="B9" s="38" t="n">
        <v>2</v>
      </c>
      <c r="C9" s="38" t="s">
        <v>48</v>
      </c>
      <c r="D9" s="38" t="s">
        <v>49</v>
      </c>
      <c r="E9" s="39" t="n">
        <v>47000</v>
      </c>
      <c r="F9" s="39" t="n">
        <v>30000</v>
      </c>
      <c r="G9" s="38" t="n">
        <v>235</v>
      </c>
      <c r="H9" s="39" t="n">
        <v>48000</v>
      </c>
      <c r="I9" s="39" t="n">
        <f aca="false">E9-F9</f>
        <v>17000</v>
      </c>
      <c r="J9" s="40" t="n">
        <f aca="false">IF(E9&gt;0,I9/E9,0)</f>
        <v>0.361702127659575</v>
      </c>
      <c r="K9" s="39" t="n">
        <f aca="false">E9-H9</f>
        <v>-1000</v>
      </c>
      <c r="L9" s="40" t="n">
        <f aca="false">IF(H9&gt;0,K9/H9,0)</f>
        <v>-0.0208333333333333</v>
      </c>
    </row>
    <row r="10" customFormat="false" ht="15" hidden="false" customHeight="true" outlineLevel="0" collapsed="false">
      <c r="A10" s="33" t="s">
        <v>21</v>
      </c>
      <c r="B10" s="34" t="n">
        <v>2</v>
      </c>
      <c r="C10" s="34" t="s">
        <v>50</v>
      </c>
      <c r="D10" s="34" t="s">
        <v>49</v>
      </c>
      <c r="E10" s="35" t="n">
        <v>41000</v>
      </c>
      <c r="F10" s="35" t="n">
        <v>27000</v>
      </c>
      <c r="G10" s="34" t="n">
        <v>205</v>
      </c>
      <c r="H10" s="35" t="n">
        <v>42000</v>
      </c>
      <c r="I10" s="35" t="n">
        <f aca="false">E10-F10</f>
        <v>14000</v>
      </c>
      <c r="J10" s="36" t="n">
        <f aca="false">IF(E10&gt;0,I10/E10,0)</f>
        <v>0.341463414634146</v>
      </c>
      <c r="K10" s="35" t="n">
        <f aca="false">E10-H10</f>
        <v>-1000</v>
      </c>
      <c r="L10" s="36" t="n">
        <f aca="false">IF(H10&gt;0,K10/H10,0)</f>
        <v>-0.0238095238095238</v>
      </c>
    </row>
    <row r="11" customFormat="false" ht="15" hidden="false" customHeight="true" outlineLevel="0" collapsed="false">
      <c r="A11" s="37" t="s">
        <v>21</v>
      </c>
      <c r="B11" s="38" t="n">
        <v>2</v>
      </c>
      <c r="C11" s="38" t="s">
        <v>45</v>
      </c>
      <c r="D11" s="38" t="s">
        <v>51</v>
      </c>
      <c r="E11" s="39" t="n">
        <v>76000</v>
      </c>
      <c r="F11" s="39" t="n">
        <v>47000</v>
      </c>
      <c r="G11" s="38" t="n">
        <v>380</v>
      </c>
      <c r="H11" s="39" t="n">
        <v>74000</v>
      </c>
      <c r="I11" s="39" t="n">
        <f aca="false">E11-F11</f>
        <v>29000</v>
      </c>
      <c r="J11" s="40" t="n">
        <f aca="false">IF(E11&gt;0,I11/E11,0)</f>
        <v>0.381578947368421</v>
      </c>
      <c r="K11" s="39" t="n">
        <f aca="false">E11-H11</f>
        <v>2000</v>
      </c>
      <c r="L11" s="40" t="n">
        <f aca="false">IF(H11&gt;0,K11/H11,0)</f>
        <v>0.027027027027027</v>
      </c>
    </row>
    <row r="12" customFormat="false" ht="15" hidden="false" customHeight="true" outlineLevel="0" collapsed="false">
      <c r="A12" s="33" t="s">
        <v>22</v>
      </c>
      <c r="B12" s="34" t="n">
        <v>3</v>
      </c>
      <c r="C12" s="34" t="s">
        <v>45</v>
      </c>
      <c r="D12" s="34" t="s">
        <v>46</v>
      </c>
      <c r="E12" s="35" t="n">
        <v>98000</v>
      </c>
      <c r="F12" s="35" t="n">
        <v>59000</v>
      </c>
      <c r="G12" s="34" t="n">
        <v>490</v>
      </c>
      <c r="H12" s="35" t="n">
        <v>95000</v>
      </c>
      <c r="I12" s="35" t="n">
        <f aca="false">E12-F12</f>
        <v>39000</v>
      </c>
      <c r="J12" s="36" t="n">
        <f aca="false">IF(E12&gt;0,I12/E12,0)</f>
        <v>0.397959183673469</v>
      </c>
      <c r="K12" s="35" t="n">
        <f aca="false">E12-H12</f>
        <v>3000</v>
      </c>
      <c r="L12" s="36" t="n">
        <f aca="false">IF(H12&gt;0,K12/H12,0)</f>
        <v>0.0315789473684211</v>
      </c>
    </row>
    <row r="13" customFormat="false" ht="15" hidden="false" customHeight="true" outlineLevel="0" collapsed="false">
      <c r="A13" s="37" t="s">
        <v>22</v>
      </c>
      <c r="B13" s="38" t="n">
        <v>3</v>
      </c>
      <c r="C13" s="38" t="s">
        <v>47</v>
      </c>
      <c r="D13" s="38" t="s">
        <v>46</v>
      </c>
      <c r="E13" s="39" t="n">
        <v>73000</v>
      </c>
      <c r="F13" s="39" t="n">
        <v>45000</v>
      </c>
      <c r="G13" s="38" t="n">
        <v>365</v>
      </c>
      <c r="H13" s="39" t="n">
        <v>70000</v>
      </c>
      <c r="I13" s="39" t="n">
        <f aca="false">E13-F13</f>
        <v>28000</v>
      </c>
      <c r="J13" s="40" t="n">
        <f aca="false">IF(E13&gt;0,I13/E13,0)</f>
        <v>0.383561643835616</v>
      </c>
      <c r="K13" s="39" t="n">
        <f aca="false">E13-H13</f>
        <v>3000</v>
      </c>
      <c r="L13" s="40" t="n">
        <f aca="false">IF(H13&gt;0,K13/H13,0)</f>
        <v>0.0428571428571429</v>
      </c>
    </row>
    <row r="14" customFormat="false" ht="15" hidden="false" customHeight="true" outlineLevel="0" collapsed="false">
      <c r="A14" s="33" t="s">
        <v>22</v>
      </c>
      <c r="B14" s="34" t="n">
        <v>3</v>
      </c>
      <c r="C14" s="34" t="s">
        <v>48</v>
      </c>
      <c r="D14" s="34" t="s">
        <v>49</v>
      </c>
      <c r="E14" s="35" t="n">
        <v>52000</v>
      </c>
      <c r="F14" s="35" t="n">
        <v>33000</v>
      </c>
      <c r="G14" s="34" t="n">
        <v>260</v>
      </c>
      <c r="H14" s="35" t="n">
        <v>50000</v>
      </c>
      <c r="I14" s="35" t="n">
        <f aca="false">E14-F14</f>
        <v>19000</v>
      </c>
      <c r="J14" s="36" t="n">
        <f aca="false">IF(E14&gt;0,I14/E14,0)</f>
        <v>0.365384615384615</v>
      </c>
      <c r="K14" s="35" t="n">
        <f aca="false">E14-H14</f>
        <v>2000</v>
      </c>
      <c r="L14" s="36" t="n">
        <f aca="false">IF(H14&gt;0,K14/H14,0)</f>
        <v>0.04</v>
      </c>
    </row>
    <row r="15" customFormat="false" ht="15" hidden="false" customHeight="true" outlineLevel="0" collapsed="false">
      <c r="A15" s="37" t="s">
        <v>22</v>
      </c>
      <c r="B15" s="38" t="n">
        <v>3</v>
      </c>
      <c r="C15" s="38" t="s">
        <v>50</v>
      </c>
      <c r="D15" s="38" t="s">
        <v>49</v>
      </c>
      <c r="E15" s="39" t="n">
        <v>46000</v>
      </c>
      <c r="F15" s="39" t="n">
        <v>30000</v>
      </c>
      <c r="G15" s="38" t="n">
        <v>230</v>
      </c>
      <c r="H15" s="39" t="n">
        <v>44000</v>
      </c>
      <c r="I15" s="39" t="n">
        <f aca="false">E15-F15</f>
        <v>16000</v>
      </c>
      <c r="J15" s="40" t="n">
        <f aca="false">IF(E15&gt;0,I15/E15,0)</f>
        <v>0.347826086956522</v>
      </c>
      <c r="K15" s="39" t="n">
        <f aca="false">E15-H15</f>
        <v>2000</v>
      </c>
      <c r="L15" s="40" t="n">
        <f aca="false">IF(H15&gt;0,K15/H15,0)</f>
        <v>0.0454545454545455</v>
      </c>
    </row>
    <row r="16" customFormat="false" ht="15" hidden="false" customHeight="true" outlineLevel="0" collapsed="false">
      <c r="A16" s="33" t="s">
        <v>22</v>
      </c>
      <c r="B16" s="34" t="n">
        <v>3</v>
      </c>
      <c r="C16" s="34" t="s">
        <v>45</v>
      </c>
      <c r="D16" s="34" t="s">
        <v>51</v>
      </c>
      <c r="E16" s="35" t="n">
        <v>83000</v>
      </c>
      <c r="F16" s="35" t="n">
        <v>51000</v>
      </c>
      <c r="G16" s="34" t="n">
        <v>415</v>
      </c>
      <c r="H16" s="35" t="n">
        <v>80000</v>
      </c>
      <c r="I16" s="35" t="n">
        <f aca="false">E16-F16</f>
        <v>32000</v>
      </c>
      <c r="J16" s="36" t="n">
        <f aca="false">IF(E16&gt;0,I16/E16,0)</f>
        <v>0.385542168674699</v>
      </c>
      <c r="K16" s="35" t="n">
        <f aca="false">E16-H16</f>
        <v>3000</v>
      </c>
      <c r="L16" s="36" t="n">
        <f aca="false">IF(H16&gt;0,K16/H16,0)</f>
        <v>0.0375</v>
      </c>
    </row>
    <row r="17" customFormat="false" ht="15" hidden="false" customHeight="true" outlineLevel="0" collapsed="false">
      <c r="A17" s="37" t="s">
        <v>23</v>
      </c>
      <c r="B17" s="38" t="n">
        <v>4</v>
      </c>
      <c r="C17" s="38" t="s">
        <v>45</v>
      </c>
      <c r="D17" s="38" t="s">
        <v>46</v>
      </c>
      <c r="E17" s="39" t="n">
        <v>105000</v>
      </c>
      <c r="F17" s="39" t="n">
        <v>63000</v>
      </c>
      <c r="G17" s="38" t="n">
        <v>525</v>
      </c>
      <c r="H17" s="39" t="n">
        <v>100000</v>
      </c>
      <c r="I17" s="39" t="n">
        <f aca="false">E17-F17</f>
        <v>42000</v>
      </c>
      <c r="J17" s="40" t="n">
        <f aca="false">IF(E17&gt;0,I17/E17,0)</f>
        <v>0.4</v>
      </c>
      <c r="K17" s="39" t="n">
        <f aca="false">E17-H17</f>
        <v>5000</v>
      </c>
      <c r="L17" s="40" t="n">
        <f aca="false">IF(H17&gt;0,K17/H17,0)</f>
        <v>0.05</v>
      </c>
    </row>
    <row r="18" customFormat="false" ht="15" hidden="false" customHeight="true" outlineLevel="0" collapsed="false">
      <c r="A18" s="33" t="s">
        <v>23</v>
      </c>
      <c r="B18" s="34" t="n">
        <v>4</v>
      </c>
      <c r="C18" s="34" t="s">
        <v>47</v>
      </c>
      <c r="D18" s="34" t="s">
        <v>46</v>
      </c>
      <c r="E18" s="35" t="n">
        <v>78000</v>
      </c>
      <c r="F18" s="35" t="n">
        <v>48000</v>
      </c>
      <c r="G18" s="34" t="n">
        <v>390</v>
      </c>
      <c r="H18" s="35" t="n">
        <v>75000</v>
      </c>
      <c r="I18" s="35" t="n">
        <f aca="false">E18-F18</f>
        <v>30000</v>
      </c>
      <c r="J18" s="36" t="n">
        <f aca="false">IF(E18&gt;0,I18/E18,0)</f>
        <v>0.384615384615385</v>
      </c>
      <c r="K18" s="35" t="n">
        <f aca="false">E18-H18</f>
        <v>3000</v>
      </c>
      <c r="L18" s="36" t="n">
        <f aca="false">IF(H18&gt;0,K18/H18,0)</f>
        <v>0.04</v>
      </c>
    </row>
    <row r="19" customFormat="false" ht="15" hidden="false" customHeight="true" outlineLevel="0" collapsed="false">
      <c r="A19" s="37" t="s">
        <v>23</v>
      </c>
      <c r="B19" s="38" t="n">
        <v>4</v>
      </c>
      <c r="C19" s="38" t="s">
        <v>48</v>
      </c>
      <c r="D19" s="38" t="s">
        <v>49</v>
      </c>
      <c r="E19" s="39" t="n">
        <v>55000</v>
      </c>
      <c r="F19" s="39" t="n">
        <v>35000</v>
      </c>
      <c r="G19" s="38" t="n">
        <v>275</v>
      </c>
      <c r="H19" s="39" t="n">
        <v>53000</v>
      </c>
      <c r="I19" s="39" t="n">
        <f aca="false">E19-F19</f>
        <v>20000</v>
      </c>
      <c r="J19" s="40" t="n">
        <f aca="false">IF(E19&gt;0,I19/E19,0)</f>
        <v>0.363636363636364</v>
      </c>
      <c r="K19" s="39" t="n">
        <f aca="false">E19-H19</f>
        <v>2000</v>
      </c>
      <c r="L19" s="40" t="n">
        <f aca="false">IF(H19&gt;0,K19/H19,0)</f>
        <v>0.0377358490566038</v>
      </c>
    </row>
    <row r="20" customFormat="false" ht="15" hidden="false" customHeight="true" outlineLevel="0" collapsed="false">
      <c r="A20" s="33" t="s">
        <v>23</v>
      </c>
      <c r="B20" s="34" t="n">
        <v>4</v>
      </c>
      <c r="C20" s="34" t="s">
        <v>50</v>
      </c>
      <c r="D20" s="34" t="s">
        <v>49</v>
      </c>
      <c r="E20" s="35" t="n">
        <v>49000</v>
      </c>
      <c r="F20" s="35" t="n">
        <v>32000</v>
      </c>
      <c r="G20" s="34" t="n">
        <v>245</v>
      </c>
      <c r="H20" s="35" t="n">
        <v>47000</v>
      </c>
      <c r="I20" s="35" t="n">
        <f aca="false">E20-F20</f>
        <v>17000</v>
      </c>
      <c r="J20" s="36" t="n">
        <f aca="false">IF(E20&gt;0,I20/E20,0)</f>
        <v>0.346938775510204</v>
      </c>
      <c r="K20" s="35" t="n">
        <f aca="false">E20-H20</f>
        <v>2000</v>
      </c>
      <c r="L20" s="36" t="n">
        <f aca="false">IF(H20&gt;0,K20/H20,0)</f>
        <v>0.0425531914893617</v>
      </c>
    </row>
    <row r="21" customFormat="false" ht="15" hidden="false" customHeight="true" outlineLevel="0" collapsed="false">
      <c r="A21" s="37" t="s">
        <v>23</v>
      </c>
      <c r="B21" s="38" t="n">
        <v>4</v>
      </c>
      <c r="C21" s="38" t="s">
        <v>45</v>
      </c>
      <c r="D21" s="38" t="s">
        <v>51</v>
      </c>
      <c r="E21" s="39" t="n">
        <v>89000</v>
      </c>
      <c r="F21" s="39" t="n">
        <v>55000</v>
      </c>
      <c r="G21" s="38" t="n">
        <v>445</v>
      </c>
      <c r="H21" s="39" t="n">
        <v>86000</v>
      </c>
      <c r="I21" s="39" t="n">
        <f aca="false">E21-F21</f>
        <v>34000</v>
      </c>
      <c r="J21" s="40" t="n">
        <f aca="false">IF(E21&gt;0,I21/E21,0)</f>
        <v>0.382022471910112</v>
      </c>
      <c r="K21" s="39" t="n">
        <f aca="false">E21-H21</f>
        <v>3000</v>
      </c>
      <c r="L21" s="40" t="n">
        <f aca="false">IF(H21&gt;0,K21/H21,0)</f>
        <v>0.0348837209302326</v>
      </c>
    </row>
    <row r="22" customFormat="false" ht="15" hidden="false" customHeight="true" outlineLevel="0" collapsed="false">
      <c r="A22" s="33" t="s">
        <v>24</v>
      </c>
      <c r="B22" s="34" t="n">
        <v>5</v>
      </c>
      <c r="C22" s="34" t="s">
        <v>45</v>
      </c>
      <c r="D22" s="34" t="s">
        <v>46</v>
      </c>
      <c r="E22" s="35" t="n">
        <v>112000</v>
      </c>
      <c r="F22" s="35" t="n">
        <v>67000</v>
      </c>
      <c r="G22" s="34" t="n">
        <v>560</v>
      </c>
      <c r="H22" s="35" t="n">
        <v>108000</v>
      </c>
      <c r="I22" s="35" t="n">
        <f aca="false">E22-F22</f>
        <v>45000</v>
      </c>
      <c r="J22" s="36" t="n">
        <f aca="false">IF(E22&gt;0,I22/E22,0)</f>
        <v>0.401785714285714</v>
      </c>
      <c r="K22" s="35" t="n">
        <f aca="false">E22-H22</f>
        <v>4000</v>
      </c>
      <c r="L22" s="36" t="n">
        <f aca="false">IF(H22&gt;0,K22/H22,0)</f>
        <v>0.037037037037037</v>
      </c>
    </row>
    <row r="23" customFormat="false" ht="15" hidden="false" customHeight="true" outlineLevel="0" collapsed="false">
      <c r="A23" s="37" t="s">
        <v>24</v>
      </c>
      <c r="B23" s="38" t="n">
        <v>5</v>
      </c>
      <c r="C23" s="38" t="s">
        <v>47</v>
      </c>
      <c r="D23" s="38" t="s">
        <v>46</v>
      </c>
      <c r="E23" s="39" t="n">
        <v>84000</v>
      </c>
      <c r="F23" s="39" t="n">
        <v>52000</v>
      </c>
      <c r="G23" s="38" t="n">
        <v>420</v>
      </c>
      <c r="H23" s="39" t="n">
        <v>82000</v>
      </c>
      <c r="I23" s="39" t="n">
        <f aca="false">E23-F23</f>
        <v>32000</v>
      </c>
      <c r="J23" s="40" t="n">
        <f aca="false">IF(E23&gt;0,I23/E23,0)</f>
        <v>0.380952380952381</v>
      </c>
      <c r="K23" s="39" t="n">
        <f aca="false">E23-H23</f>
        <v>2000</v>
      </c>
      <c r="L23" s="40" t="n">
        <f aca="false">IF(H23&gt;0,K23/H23,0)</f>
        <v>0.024390243902439</v>
      </c>
    </row>
    <row r="24" customFormat="false" ht="15" hidden="false" customHeight="true" outlineLevel="0" collapsed="false">
      <c r="A24" s="33" t="s">
        <v>24</v>
      </c>
      <c r="B24" s="34" t="n">
        <v>5</v>
      </c>
      <c r="C24" s="34" t="s">
        <v>48</v>
      </c>
      <c r="D24" s="34" t="s">
        <v>49</v>
      </c>
      <c r="E24" s="35" t="n">
        <v>60000</v>
      </c>
      <c r="F24" s="35" t="n">
        <v>38000</v>
      </c>
      <c r="G24" s="34" t="n">
        <v>300</v>
      </c>
      <c r="H24" s="35" t="n">
        <v>58000</v>
      </c>
      <c r="I24" s="35" t="n">
        <f aca="false">E24-F24</f>
        <v>22000</v>
      </c>
      <c r="J24" s="36" t="n">
        <f aca="false">IF(E24&gt;0,I24/E24,0)</f>
        <v>0.366666666666667</v>
      </c>
      <c r="K24" s="35" t="n">
        <f aca="false">E24-H24</f>
        <v>2000</v>
      </c>
      <c r="L24" s="36" t="n">
        <f aca="false">IF(H24&gt;0,K24/H24,0)</f>
        <v>0.0344827586206897</v>
      </c>
    </row>
    <row r="25" customFormat="false" ht="15" hidden="false" customHeight="true" outlineLevel="0" collapsed="false">
      <c r="A25" s="37" t="s">
        <v>24</v>
      </c>
      <c r="B25" s="38" t="n">
        <v>5</v>
      </c>
      <c r="C25" s="38" t="s">
        <v>50</v>
      </c>
      <c r="D25" s="38" t="s">
        <v>49</v>
      </c>
      <c r="E25" s="39" t="n">
        <v>53000</v>
      </c>
      <c r="F25" s="39" t="n">
        <v>34000</v>
      </c>
      <c r="G25" s="38" t="n">
        <v>265</v>
      </c>
      <c r="H25" s="39" t="n">
        <v>51000</v>
      </c>
      <c r="I25" s="39" t="n">
        <f aca="false">E25-F25</f>
        <v>19000</v>
      </c>
      <c r="J25" s="40" t="n">
        <f aca="false">IF(E25&gt;0,I25/E25,0)</f>
        <v>0.358490566037736</v>
      </c>
      <c r="K25" s="39" t="n">
        <f aca="false">E25-H25</f>
        <v>2000</v>
      </c>
      <c r="L25" s="40" t="n">
        <f aca="false">IF(H25&gt;0,K25/H25,0)</f>
        <v>0.0392156862745098</v>
      </c>
    </row>
    <row r="26" customFormat="false" ht="15" hidden="false" customHeight="true" outlineLevel="0" collapsed="false">
      <c r="A26" s="33" t="s">
        <v>24</v>
      </c>
      <c r="B26" s="34" t="n">
        <v>5</v>
      </c>
      <c r="C26" s="34" t="s">
        <v>45</v>
      </c>
      <c r="D26" s="34" t="s">
        <v>51</v>
      </c>
      <c r="E26" s="35" t="n">
        <v>95000</v>
      </c>
      <c r="F26" s="35" t="n">
        <v>58000</v>
      </c>
      <c r="G26" s="34" t="n">
        <v>475</v>
      </c>
      <c r="H26" s="35" t="n">
        <v>91000</v>
      </c>
      <c r="I26" s="35" t="n">
        <f aca="false">E26-F26</f>
        <v>37000</v>
      </c>
      <c r="J26" s="36" t="n">
        <f aca="false">IF(E26&gt;0,I26/E26,0)</f>
        <v>0.389473684210526</v>
      </c>
      <c r="K26" s="35" t="n">
        <f aca="false">E26-H26</f>
        <v>4000</v>
      </c>
      <c r="L26" s="36" t="n">
        <f aca="false">IF(H26&gt;0,K26/H26,0)</f>
        <v>0.043956043956044</v>
      </c>
    </row>
    <row r="27" customFormat="false" ht="15" hidden="false" customHeight="true" outlineLevel="0" collapsed="false">
      <c r="A27" s="37" t="s">
        <v>25</v>
      </c>
      <c r="B27" s="38" t="n">
        <v>6</v>
      </c>
      <c r="C27" s="38" t="s">
        <v>45</v>
      </c>
      <c r="D27" s="38" t="s">
        <v>46</v>
      </c>
      <c r="E27" s="39" t="n">
        <v>118000</v>
      </c>
      <c r="F27" s="39" t="n">
        <v>71000</v>
      </c>
      <c r="G27" s="38" t="n">
        <v>590</v>
      </c>
      <c r="H27" s="39" t="n">
        <v>115000</v>
      </c>
      <c r="I27" s="39" t="n">
        <f aca="false">E27-F27</f>
        <v>47000</v>
      </c>
      <c r="J27" s="40" t="n">
        <f aca="false">IF(E27&gt;0,I27/E27,0)</f>
        <v>0.398305084745763</v>
      </c>
      <c r="K27" s="39" t="n">
        <f aca="false">E27-H27</f>
        <v>3000</v>
      </c>
      <c r="L27" s="40" t="n">
        <f aca="false">IF(H27&gt;0,K27/H27,0)</f>
        <v>0.0260869565217391</v>
      </c>
    </row>
    <row r="28" customFormat="false" ht="15" hidden="false" customHeight="true" outlineLevel="0" collapsed="false">
      <c r="A28" s="33" t="s">
        <v>25</v>
      </c>
      <c r="B28" s="34" t="n">
        <v>6</v>
      </c>
      <c r="C28" s="34" t="s">
        <v>47</v>
      </c>
      <c r="D28" s="34" t="s">
        <v>46</v>
      </c>
      <c r="E28" s="35" t="n">
        <v>89000</v>
      </c>
      <c r="F28" s="35" t="n">
        <v>55000</v>
      </c>
      <c r="G28" s="34" t="n">
        <v>445</v>
      </c>
      <c r="H28" s="35" t="n">
        <v>86000</v>
      </c>
      <c r="I28" s="35" t="n">
        <f aca="false">E28-F28</f>
        <v>34000</v>
      </c>
      <c r="J28" s="36" t="n">
        <f aca="false">IF(E28&gt;0,I28/E28,0)</f>
        <v>0.382022471910112</v>
      </c>
      <c r="K28" s="35" t="n">
        <f aca="false">E28-H28</f>
        <v>3000</v>
      </c>
      <c r="L28" s="36" t="n">
        <f aca="false">IF(H28&gt;0,K28/H28,0)</f>
        <v>0.0348837209302326</v>
      </c>
    </row>
    <row r="29" customFormat="false" ht="15" hidden="false" customHeight="true" outlineLevel="0" collapsed="false">
      <c r="A29" s="37" t="s">
        <v>25</v>
      </c>
      <c r="B29" s="38" t="n">
        <v>6</v>
      </c>
      <c r="C29" s="38" t="s">
        <v>48</v>
      </c>
      <c r="D29" s="38" t="s">
        <v>49</v>
      </c>
      <c r="E29" s="39" t="n">
        <v>64000</v>
      </c>
      <c r="F29" s="39" t="n">
        <v>40000</v>
      </c>
      <c r="G29" s="38" t="n">
        <v>320</v>
      </c>
      <c r="H29" s="39" t="n">
        <v>62000</v>
      </c>
      <c r="I29" s="39" t="n">
        <f aca="false">E29-F29</f>
        <v>24000</v>
      </c>
      <c r="J29" s="40" t="n">
        <f aca="false">IF(E29&gt;0,I29/E29,0)</f>
        <v>0.375</v>
      </c>
      <c r="K29" s="39" t="n">
        <f aca="false">E29-H29</f>
        <v>2000</v>
      </c>
      <c r="L29" s="40" t="n">
        <f aca="false">IF(H29&gt;0,K29/H29,0)</f>
        <v>0.032258064516129</v>
      </c>
    </row>
    <row r="30" customFormat="false" ht="15" hidden="false" customHeight="true" outlineLevel="0" collapsed="false">
      <c r="A30" s="33" t="s">
        <v>25</v>
      </c>
      <c r="B30" s="34" t="n">
        <v>6</v>
      </c>
      <c r="C30" s="34" t="s">
        <v>50</v>
      </c>
      <c r="D30" s="34" t="s">
        <v>49</v>
      </c>
      <c r="E30" s="35" t="n">
        <v>57000</v>
      </c>
      <c r="F30" s="35" t="n">
        <v>37000</v>
      </c>
      <c r="G30" s="34" t="n">
        <v>285</v>
      </c>
      <c r="H30" s="35" t="n">
        <v>55000</v>
      </c>
      <c r="I30" s="35" t="n">
        <f aca="false">E30-F30</f>
        <v>20000</v>
      </c>
      <c r="J30" s="36" t="n">
        <f aca="false">IF(E30&gt;0,I30/E30,0)</f>
        <v>0.350877192982456</v>
      </c>
      <c r="K30" s="35" t="n">
        <f aca="false">E30-H30</f>
        <v>2000</v>
      </c>
      <c r="L30" s="36" t="n">
        <f aca="false">IF(H30&gt;0,K30/H30,0)</f>
        <v>0.0363636363636364</v>
      </c>
    </row>
    <row r="31" customFormat="false" ht="15" hidden="false" customHeight="true" outlineLevel="0" collapsed="false">
      <c r="A31" s="37" t="s">
        <v>25</v>
      </c>
      <c r="B31" s="38" t="n">
        <v>6</v>
      </c>
      <c r="C31" s="38" t="s">
        <v>45</v>
      </c>
      <c r="D31" s="38" t="s">
        <v>51</v>
      </c>
      <c r="E31" s="39" t="n">
        <v>101000</v>
      </c>
      <c r="F31" s="39" t="n">
        <v>62000</v>
      </c>
      <c r="G31" s="38" t="n">
        <v>505</v>
      </c>
      <c r="H31" s="39" t="n">
        <v>98000</v>
      </c>
      <c r="I31" s="39" t="n">
        <f aca="false">E31-F31</f>
        <v>39000</v>
      </c>
      <c r="J31" s="40" t="n">
        <f aca="false">IF(E31&gt;0,I31/E31,0)</f>
        <v>0.386138613861386</v>
      </c>
      <c r="K31" s="39" t="n">
        <f aca="false">E31-H31</f>
        <v>3000</v>
      </c>
      <c r="L31" s="40" t="n">
        <f aca="false">IF(H31&gt;0,K31/H31,0)</f>
        <v>0.0306122448979592</v>
      </c>
    </row>
    <row r="32" customFormat="false" ht="15" hidden="false" customHeight="true" outlineLevel="0" collapsed="false">
      <c r="A32" s="33" t="s">
        <v>26</v>
      </c>
      <c r="B32" s="34" t="n">
        <v>7</v>
      </c>
      <c r="C32" s="34" t="s">
        <v>45</v>
      </c>
      <c r="D32" s="34" t="s">
        <v>46</v>
      </c>
      <c r="E32" s="35" t="n">
        <v>108000</v>
      </c>
      <c r="F32" s="35" t="n">
        <v>65000</v>
      </c>
      <c r="G32" s="34" t="n">
        <v>540</v>
      </c>
      <c r="H32" s="35" t="n">
        <v>112000</v>
      </c>
      <c r="I32" s="35" t="n">
        <f aca="false">E32-F32</f>
        <v>43000</v>
      </c>
      <c r="J32" s="36" t="n">
        <f aca="false">IF(E32&gt;0,I32/E32,0)</f>
        <v>0.398148148148148</v>
      </c>
      <c r="K32" s="35" t="n">
        <f aca="false">E32-H32</f>
        <v>-4000</v>
      </c>
      <c r="L32" s="36" t="n">
        <f aca="false">IF(H32&gt;0,K32/H32,0)</f>
        <v>-0.0357142857142857</v>
      </c>
    </row>
    <row r="33" customFormat="false" ht="15" hidden="false" customHeight="true" outlineLevel="0" collapsed="false">
      <c r="A33" s="37" t="s">
        <v>26</v>
      </c>
      <c r="B33" s="38" t="n">
        <v>7</v>
      </c>
      <c r="C33" s="38" t="s">
        <v>47</v>
      </c>
      <c r="D33" s="38" t="s">
        <v>46</v>
      </c>
      <c r="E33" s="39" t="n">
        <v>82000</v>
      </c>
      <c r="F33" s="39" t="n">
        <v>51000</v>
      </c>
      <c r="G33" s="38" t="n">
        <v>410</v>
      </c>
      <c r="H33" s="39" t="n">
        <v>84000</v>
      </c>
      <c r="I33" s="39" t="n">
        <f aca="false">E33-F33</f>
        <v>31000</v>
      </c>
      <c r="J33" s="40" t="n">
        <f aca="false">IF(E33&gt;0,I33/E33,0)</f>
        <v>0.378048780487805</v>
      </c>
      <c r="K33" s="39" t="n">
        <f aca="false">E33-H33</f>
        <v>-2000</v>
      </c>
      <c r="L33" s="40" t="n">
        <f aca="false">IF(H33&gt;0,K33/H33,0)</f>
        <v>-0.0238095238095238</v>
      </c>
    </row>
    <row r="34" customFormat="false" ht="15" hidden="false" customHeight="true" outlineLevel="0" collapsed="false">
      <c r="A34" s="33" t="s">
        <v>26</v>
      </c>
      <c r="B34" s="34" t="n">
        <v>7</v>
      </c>
      <c r="C34" s="34" t="s">
        <v>48</v>
      </c>
      <c r="D34" s="34" t="s">
        <v>49</v>
      </c>
      <c r="E34" s="35" t="n">
        <v>58000</v>
      </c>
      <c r="F34" s="35" t="n">
        <v>37000</v>
      </c>
      <c r="G34" s="34" t="n">
        <v>290</v>
      </c>
      <c r="H34" s="35" t="n">
        <v>63000</v>
      </c>
      <c r="I34" s="35" t="n">
        <f aca="false">E34-F34</f>
        <v>21000</v>
      </c>
      <c r="J34" s="36" t="n">
        <f aca="false">IF(E34&gt;0,I34/E34,0)</f>
        <v>0.362068965517241</v>
      </c>
      <c r="K34" s="35" t="n">
        <f aca="false">E34-H34</f>
        <v>-5000</v>
      </c>
      <c r="L34" s="36" t="n">
        <f aca="false">IF(H34&gt;0,K34/H34,0)</f>
        <v>-0.0793650793650794</v>
      </c>
    </row>
    <row r="35" customFormat="false" ht="15" hidden="false" customHeight="true" outlineLevel="0" collapsed="false">
      <c r="A35" s="37" t="s">
        <v>26</v>
      </c>
      <c r="B35" s="38" t="n">
        <v>7</v>
      </c>
      <c r="C35" s="38" t="s">
        <v>50</v>
      </c>
      <c r="D35" s="38" t="s">
        <v>49</v>
      </c>
      <c r="E35" s="39" t="n">
        <v>51000</v>
      </c>
      <c r="F35" s="39" t="n">
        <v>33000</v>
      </c>
      <c r="G35" s="38" t="n">
        <v>255</v>
      </c>
      <c r="H35" s="39" t="n">
        <v>53000</v>
      </c>
      <c r="I35" s="39" t="n">
        <f aca="false">E35-F35</f>
        <v>18000</v>
      </c>
      <c r="J35" s="40" t="n">
        <f aca="false">IF(E35&gt;0,I35/E35,0)</f>
        <v>0.352941176470588</v>
      </c>
      <c r="K35" s="39" t="n">
        <f aca="false">E35-H35</f>
        <v>-2000</v>
      </c>
      <c r="L35" s="40" t="n">
        <f aca="false">IF(H35&gt;0,K35/H35,0)</f>
        <v>-0.0377358490566038</v>
      </c>
    </row>
    <row r="36" customFormat="false" ht="15" hidden="false" customHeight="true" outlineLevel="0" collapsed="false">
      <c r="A36" s="33" t="s">
        <v>26</v>
      </c>
      <c r="B36" s="34" t="n">
        <v>7</v>
      </c>
      <c r="C36" s="34" t="s">
        <v>45</v>
      </c>
      <c r="D36" s="34" t="s">
        <v>51</v>
      </c>
      <c r="E36" s="35" t="n">
        <v>94000</v>
      </c>
      <c r="F36" s="35" t="n">
        <v>58000</v>
      </c>
      <c r="G36" s="34" t="n">
        <v>470</v>
      </c>
      <c r="H36" s="35" t="n">
        <v>97000</v>
      </c>
      <c r="I36" s="35" t="n">
        <f aca="false">E36-F36</f>
        <v>36000</v>
      </c>
      <c r="J36" s="36" t="n">
        <f aca="false">IF(E36&gt;0,I36/E36,0)</f>
        <v>0.382978723404255</v>
      </c>
      <c r="K36" s="35" t="n">
        <f aca="false">E36-H36</f>
        <v>-3000</v>
      </c>
      <c r="L36" s="36" t="n">
        <f aca="false">IF(H36&gt;0,K36/H36,0)</f>
        <v>-0.0309278350515464</v>
      </c>
    </row>
    <row r="37" customFormat="false" ht="15" hidden="false" customHeight="true" outlineLevel="0" collapsed="false">
      <c r="A37" s="37" t="s">
        <v>27</v>
      </c>
      <c r="B37" s="38" t="n">
        <v>8</v>
      </c>
      <c r="C37" s="38" t="s">
        <v>45</v>
      </c>
      <c r="D37" s="38" t="s">
        <v>46</v>
      </c>
      <c r="E37" s="39" t="n">
        <v>115000</v>
      </c>
      <c r="F37" s="39" t="n">
        <v>69000</v>
      </c>
      <c r="G37" s="38" t="n">
        <v>575</v>
      </c>
      <c r="H37" s="39" t="n">
        <v>113000</v>
      </c>
      <c r="I37" s="39" t="n">
        <f aca="false">E37-F37</f>
        <v>46000</v>
      </c>
      <c r="J37" s="40" t="n">
        <f aca="false">IF(E37&gt;0,I37/E37,0)</f>
        <v>0.4</v>
      </c>
      <c r="K37" s="39" t="n">
        <f aca="false">E37-H37</f>
        <v>2000</v>
      </c>
      <c r="L37" s="40" t="n">
        <f aca="false">IF(H37&gt;0,K37/H37,0)</f>
        <v>0.0176991150442478</v>
      </c>
    </row>
    <row r="38" customFormat="false" ht="15" hidden="false" customHeight="true" outlineLevel="0" collapsed="false">
      <c r="A38" s="33" t="s">
        <v>27</v>
      </c>
      <c r="B38" s="34" t="n">
        <v>8</v>
      </c>
      <c r="C38" s="34" t="s">
        <v>47</v>
      </c>
      <c r="D38" s="34" t="s">
        <v>46</v>
      </c>
      <c r="E38" s="35" t="n">
        <v>87000</v>
      </c>
      <c r="F38" s="35" t="n">
        <v>54000</v>
      </c>
      <c r="G38" s="34" t="n">
        <v>435</v>
      </c>
      <c r="H38" s="35" t="n">
        <v>85000</v>
      </c>
      <c r="I38" s="35" t="n">
        <f aca="false">E38-F38</f>
        <v>33000</v>
      </c>
      <c r="J38" s="36" t="n">
        <f aca="false">IF(E38&gt;0,I38/E38,0)</f>
        <v>0.379310344827586</v>
      </c>
      <c r="K38" s="35" t="n">
        <f aca="false">E38-H38</f>
        <v>2000</v>
      </c>
      <c r="L38" s="36" t="n">
        <f aca="false">IF(H38&gt;0,K38/H38,0)</f>
        <v>0.0235294117647059</v>
      </c>
    </row>
    <row r="39" customFormat="false" ht="15" hidden="false" customHeight="true" outlineLevel="0" collapsed="false">
      <c r="A39" s="37" t="s">
        <v>27</v>
      </c>
      <c r="B39" s="38" t="n">
        <v>8</v>
      </c>
      <c r="C39" s="38" t="s">
        <v>48</v>
      </c>
      <c r="D39" s="38" t="s">
        <v>49</v>
      </c>
      <c r="E39" s="39" t="n">
        <v>62000</v>
      </c>
      <c r="F39" s="39" t="n">
        <v>39000</v>
      </c>
      <c r="G39" s="38" t="n">
        <v>310</v>
      </c>
      <c r="H39" s="39" t="n">
        <v>61000</v>
      </c>
      <c r="I39" s="39" t="n">
        <f aca="false">E39-F39</f>
        <v>23000</v>
      </c>
      <c r="J39" s="40" t="n">
        <f aca="false">IF(E39&gt;0,I39/E39,0)</f>
        <v>0.370967741935484</v>
      </c>
      <c r="K39" s="39" t="n">
        <f aca="false">E39-H39</f>
        <v>1000</v>
      </c>
      <c r="L39" s="40" t="n">
        <f aca="false">IF(H39&gt;0,K39/H39,0)</f>
        <v>0.0163934426229508</v>
      </c>
    </row>
    <row r="40" customFormat="false" ht="15" hidden="false" customHeight="true" outlineLevel="0" collapsed="false">
      <c r="A40" s="33" t="s">
        <v>27</v>
      </c>
      <c r="B40" s="34" t="n">
        <v>8</v>
      </c>
      <c r="C40" s="34" t="s">
        <v>50</v>
      </c>
      <c r="D40" s="34" t="s">
        <v>49</v>
      </c>
      <c r="E40" s="35" t="n">
        <v>55000</v>
      </c>
      <c r="F40" s="35" t="n">
        <v>36000</v>
      </c>
      <c r="G40" s="34" t="n">
        <v>275</v>
      </c>
      <c r="H40" s="35" t="n">
        <v>53000</v>
      </c>
      <c r="I40" s="35" t="n">
        <f aca="false">E40-F40</f>
        <v>19000</v>
      </c>
      <c r="J40" s="36" t="n">
        <f aca="false">IF(E40&gt;0,I40/E40,0)</f>
        <v>0.345454545454545</v>
      </c>
      <c r="K40" s="35" t="n">
        <f aca="false">E40-H40</f>
        <v>2000</v>
      </c>
      <c r="L40" s="36" t="n">
        <f aca="false">IF(H40&gt;0,K40/H40,0)</f>
        <v>0.0377358490566038</v>
      </c>
    </row>
    <row r="41" customFormat="false" ht="15" hidden="false" customHeight="true" outlineLevel="0" collapsed="false">
      <c r="A41" s="37" t="s">
        <v>27</v>
      </c>
      <c r="B41" s="38" t="n">
        <v>8</v>
      </c>
      <c r="C41" s="38" t="s">
        <v>45</v>
      </c>
      <c r="D41" s="38" t="s">
        <v>51</v>
      </c>
      <c r="E41" s="39" t="n">
        <v>99000</v>
      </c>
      <c r="F41" s="39" t="n">
        <v>61000</v>
      </c>
      <c r="G41" s="38" t="n">
        <v>495</v>
      </c>
      <c r="H41" s="39" t="n">
        <v>96000</v>
      </c>
      <c r="I41" s="39" t="n">
        <f aca="false">E41-F41</f>
        <v>38000</v>
      </c>
      <c r="J41" s="40" t="n">
        <f aca="false">IF(E41&gt;0,I41/E41,0)</f>
        <v>0.383838383838384</v>
      </c>
      <c r="K41" s="39" t="n">
        <f aca="false">E41-H41</f>
        <v>3000</v>
      </c>
      <c r="L41" s="40" t="n">
        <f aca="false">IF(H41&gt;0,K41/H41,0)</f>
        <v>0.03125</v>
      </c>
    </row>
    <row r="42" customFormat="false" ht="15" hidden="false" customHeight="true" outlineLevel="0" collapsed="false">
      <c r="A42" s="33" t="s">
        <v>28</v>
      </c>
      <c r="B42" s="34" t="n">
        <v>9</v>
      </c>
      <c r="C42" s="34" t="s">
        <v>45</v>
      </c>
      <c r="D42" s="34" t="s">
        <v>46</v>
      </c>
      <c r="E42" s="35" t="n">
        <v>122000</v>
      </c>
      <c r="F42" s="35" t="n">
        <v>73000</v>
      </c>
      <c r="G42" s="34" t="n">
        <v>610</v>
      </c>
      <c r="H42" s="35" t="n">
        <v>118000</v>
      </c>
      <c r="I42" s="35" t="n">
        <f aca="false">E42-F42</f>
        <v>49000</v>
      </c>
      <c r="J42" s="36" t="n">
        <f aca="false">IF(E42&gt;0,I42/E42,0)</f>
        <v>0.401639344262295</v>
      </c>
      <c r="K42" s="35" t="n">
        <f aca="false">E42-H42</f>
        <v>4000</v>
      </c>
      <c r="L42" s="36" t="n">
        <f aca="false">IF(H42&gt;0,K42/H42,0)</f>
        <v>0.0338983050847458</v>
      </c>
    </row>
    <row r="43" customFormat="false" ht="15" hidden="false" customHeight="true" outlineLevel="0" collapsed="false">
      <c r="A43" s="37" t="s">
        <v>28</v>
      </c>
      <c r="B43" s="38" t="n">
        <v>9</v>
      </c>
      <c r="C43" s="38" t="s">
        <v>47</v>
      </c>
      <c r="D43" s="38" t="s">
        <v>46</v>
      </c>
      <c r="E43" s="39" t="n">
        <v>93000</v>
      </c>
      <c r="F43" s="39" t="n">
        <v>57000</v>
      </c>
      <c r="G43" s="38" t="n">
        <v>465</v>
      </c>
      <c r="H43" s="39" t="n">
        <v>90000</v>
      </c>
      <c r="I43" s="39" t="n">
        <f aca="false">E43-F43</f>
        <v>36000</v>
      </c>
      <c r="J43" s="40" t="n">
        <f aca="false">IF(E43&gt;0,I43/E43,0)</f>
        <v>0.387096774193548</v>
      </c>
      <c r="K43" s="39" t="n">
        <f aca="false">E43-H43</f>
        <v>3000</v>
      </c>
      <c r="L43" s="40" t="n">
        <f aca="false">IF(H43&gt;0,K43/H43,0)</f>
        <v>0.0333333333333333</v>
      </c>
    </row>
    <row r="44" customFormat="false" ht="15" hidden="false" customHeight="true" outlineLevel="0" collapsed="false">
      <c r="A44" s="33" t="s">
        <v>28</v>
      </c>
      <c r="B44" s="34" t="n">
        <v>9</v>
      </c>
      <c r="C44" s="34" t="s">
        <v>48</v>
      </c>
      <c r="D44" s="34" t="s">
        <v>49</v>
      </c>
      <c r="E44" s="35" t="n">
        <v>67000</v>
      </c>
      <c r="F44" s="35" t="n">
        <v>42000</v>
      </c>
      <c r="G44" s="34" t="n">
        <v>335</v>
      </c>
      <c r="H44" s="35" t="n">
        <v>65000</v>
      </c>
      <c r="I44" s="35" t="n">
        <f aca="false">E44-F44</f>
        <v>25000</v>
      </c>
      <c r="J44" s="36" t="n">
        <f aca="false">IF(E44&gt;0,I44/E44,0)</f>
        <v>0.373134328358209</v>
      </c>
      <c r="K44" s="35" t="n">
        <f aca="false">E44-H44</f>
        <v>2000</v>
      </c>
      <c r="L44" s="36" t="n">
        <f aca="false">IF(H44&gt;0,K44/H44,0)</f>
        <v>0.0307692307692308</v>
      </c>
    </row>
    <row r="45" customFormat="false" ht="15" hidden="false" customHeight="true" outlineLevel="0" collapsed="false">
      <c r="A45" s="37" t="s">
        <v>28</v>
      </c>
      <c r="B45" s="38" t="n">
        <v>9</v>
      </c>
      <c r="C45" s="38" t="s">
        <v>50</v>
      </c>
      <c r="D45" s="38" t="s">
        <v>49</v>
      </c>
      <c r="E45" s="39" t="n">
        <v>59000</v>
      </c>
      <c r="F45" s="39" t="n">
        <v>38000</v>
      </c>
      <c r="G45" s="38" t="n">
        <v>295</v>
      </c>
      <c r="H45" s="39" t="n">
        <v>57000</v>
      </c>
      <c r="I45" s="39" t="n">
        <f aca="false">E45-F45</f>
        <v>21000</v>
      </c>
      <c r="J45" s="40" t="n">
        <f aca="false">IF(E45&gt;0,I45/E45,0)</f>
        <v>0.355932203389831</v>
      </c>
      <c r="K45" s="39" t="n">
        <f aca="false">E45-H45</f>
        <v>2000</v>
      </c>
      <c r="L45" s="40" t="n">
        <f aca="false">IF(H45&gt;0,K45/H45,0)</f>
        <v>0.0350877192982456</v>
      </c>
    </row>
    <row r="46" customFormat="false" ht="15" hidden="false" customHeight="true" outlineLevel="0" collapsed="false">
      <c r="A46" s="33" t="s">
        <v>28</v>
      </c>
      <c r="B46" s="34" t="n">
        <v>9</v>
      </c>
      <c r="C46" s="34" t="s">
        <v>45</v>
      </c>
      <c r="D46" s="34" t="s">
        <v>51</v>
      </c>
      <c r="E46" s="35" t="n">
        <v>106000</v>
      </c>
      <c r="F46" s="35" t="n">
        <v>65000</v>
      </c>
      <c r="G46" s="34" t="n">
        <v>530</v>
      </c>
      <c r="H46" s="35" t="n">
        <v>102000</v>
      </c>
      <c r="I46" s="35" t="n">
        <f aca="false">E46-F46</f>
        <v>41000</v>
      </c>
      <c r="J46" s="36" t="n">
        <f aca="false">IF(E46&gt;0,I46/E46,0)</f>
        <v>0.386792452830189</v>
      </c>
      <c r="K46" s="35" t="n">
        <f aca="false">E46-H46</f>
        <v>4000</v>
      </c>
      <c r="L46" s="36" t="n">
        <f aca="false">IF(H46&gt;0,K46/H46,0)</f>
        <v>0.0392156862745098</v>
      </c>
    </row>
    <row r="47" customFormat="false" ht="15" hidden="false" customHeight="true" outlineLevel="0" collapsed="false">
      <c r="A47" s="37" t="s">
        <v>29</v>
      </c>
      <c r="B47" s="38" t="n">
        <v>10</v>
      </c>
      <c r="C47" s="38" t="s">
        <v>45</v>
      </c>
      <c r="D47" s="38" t="s">
        <v>46</v>
      </c>
      <c r="E47" s="39" t="n">
        <v>131000</v>
      </c>
      <c r="F47" s="39" t="n">
        <v>79000</v>
      </c>
      <c r="G47" s="38" t="n">
        <v>655</v>
      </c>
      <c r="H47" s="39" t="n">
        <v>125000</v>
      </c>
      <c r="I47" s="39" t="n">
        <f aca="false">E47-F47</f>
        <v>52000</v>
      </c>
      <c r="J47" s="40" t="n">
        <f aca="false">IF(E47&gt;0,I47/E47,0)</f>
        <v>0.396946564885496</v>
      </c>
      <c r="K47" s="39" t="n">
        <f aca="false">E47-H47</f>
        <v>6000</v>
      </c>
      <c r="L47" s="40" t="n">
        <f aca="false">IF(H47&gt;0,K47/H47,0)</f>
        <v>0.048</v>
      </c>
    </row>
    <row r="48" customFormat="false" ht="15" hidden="false" customHeight="true" outlineLevel="0" collapsed="false">
      <c r="A48" s="33" t="s">
        <v>29</v>
      </c>
      <c r="B48" s="34" t="n">
        <v>10</v>
      </c>
      <c r="C48" s="34" t="s">
        <v>47</v>
      </c>
      <c r="D48" s="34" t="s">
        <v>46</v>
      </c>
      <c r="E48" s="35" t="n">
        <v>98000</v>
      </c>
      <c r="F48" s="35" t="n">
        <v>60000</v>
      </c>
      <c r="G48" s="34" t="n">
        <v>490</v>
      </c>
      <c r="H48" s="35" t="n">
        <v>95000</v>
      </c>
      <c r="I48" s="35" t="n">
        <f aca="false">E48-F48</f>
        <v>38000</v>
      </c>
      <c r="J48" s="36" t="n">
        <f aca="false">IF(E48&gt;0,I48/E48,0)</f>
        <v>0.387755102040816</v>
      </c>
      <c r="K48" s="35" t="n">
        <f aca="false">E48-H48</f>
        <v>3000</v>
      </c>
      <c r="L48" s="36" t="n">
        <f aca="false">IF(H48&gt;0,K48/H48,0)</f>
        <v>0.0315789473684211</v>
      </c>
    </row>
    <row r="49" customFormat="false" ht="15" hidden="false" customHeight="true" outlineLevel="0" collapsed="false">
      <c r="A49" s="37" t="s">
        <v>29</v>
      </c>
      <c r="B49" s="38" t="n">
        <v>10</v>
      </c>
      <c r="C49" s="38" t="s">
        <v>48</v>
      </c>
      <c r="D49" s="38" t="s">
        <v>49</v>
      </c>
      <c r="E49" s="39" t="n">
        <v>72000</v>
      </c>
      <c r="F49" s="39" t="n">
        <v>45000</v>
      </c>
      <c r="G49" s="38" t="n">
        <v>360</v>
      </c>
      <c r="H49" s="39" t="n">
        <v>70000</v>
      </c>
      <c r="I49" s="39" t="n">
        <f aca="false">E49-F49</f>
        <v>27000</v>
      </c>
      <c r="J49" s="40" t="n">
        <f aca="false">IF(E49&gt;0,I49/E49,0)</f>
        <v>0.375</v>
      </c>
      <c r="K49" s="39" t="n">
        <f aca="false">E49-H49</f>
        <v>2000</v>
      </c>
      <c r="L49" s="40" t="n">
        <f aca="false">IF(H49&gt;0,K49/H49,0)</f>
        <v>0.0285714285714286</v>
      </c>
    </row>
    <row r="50" customFormat="false" ht="15" hidden="false" customHeight="true" outlineLevel="0" collapsed="false">
      <c r="A50" s="33" t="s">
        <v>29</v>
      </c>
      <c r="B50" s="34" t="n">
        <v>10</v>
      </c>
      <c r="C50" s="34" t="s">
        <v>50</v>
      </c>
      <c r="D50" s="34" t="s">
        <v>49</v>
      </c>
      <c r="E50" s="35" t="n">
        <v>64000</v>
      </c>
      <c r="F50" s="35" t="n">
        <v>41000</v>
      </c>
      <c r="G50" s="34" t="n">
        <v>320</v>
      </c>
      <c r="H50" s="35" t="n">
        <v>62000</v>
      </c>
      <c r="I50" s="35" t="n">
        <f aca="false">E50-F50</f>
        <v>23000</v>
      </c>
      <c r="J50" s="36" t="n">
        <f aca="false">IF(E50&gt;0,I50/E50,0)</f>
        <v>0.359375</v>
      </c>
      <c r="K50" s="35" t="n">
        <f aca="false">E50-H50</f>
        <v>2000</v>
      </c>
      <c r="L50" s="36" t="n">
        <f aca="false">IF(H50&gt;0,K50/H50,0)</f>
        <v>0.032258064516129</v>
      </c>
    </row>
    <row r="51" customFormat="false" ht="15" hidden="false" customHeight="true" outlineLevel="0" collapsed="false">
      <c r="A51" s="37" t="s">
        <v>29</v>
      </c>
      <c r="B51" s="38" t="n">
        <v>10</v>
      </c>
      <c r="C51" s="38" t="s">
        <v>45</v>
      </c>
      <c r="D51" s="38" t="s">
        <v>51</v>
      </c>
      <c r="E51" s="39" t="n">
        <v>113000</v>
      </c>
      <c r="F51" s="39" t="n">
        <v>69000</v>
      </c>
      <c r="G51" s="38" t="n">
        <v>565</v>
      </c>
      <c r="H51" s="39" t="n">
        <v>109000</v>
      </c>
      <c r="I51" s="39" t="n">
        <f aca="false">E51-F51</f>
        <v>44000</v>
      </c>
      <c r="J51" s="40" t="n">
        <f aca="false">IF(E51&gt;0,I51/E51,0)</f>
        <v>0.389380530973451</v>
      </c>
      <c r="K51" s="39" t="n">
        <f aca="false">E51-H51</f>
        <v>4000</v>
      </c>
      <c r="L51" s="40" t="n">
        <f aca="false">IF(H51&gt;0,K51/H51,0)</f>
        <v>0.036697247706422</v>
      </c>
    </row>
    <row r="52" customFormat="false" ht="15" hidden="false" customHeight="true" outlineLevel="0" collapsed="false">
      <c r="A52" s="33" t="s">
        <v>30</v>
      </c>
      <c r="B52" s="34" t="n">
        <v>11</v>
      </c>
      <c r="C52" s="34" t="s">
        <v>45</v>
      </c>
      <c r="D52" s="34" t="s">
        <v>46</v>
      </c>
      <c r="E52" s="35" t="n">
        <v>145000</v>
      </c>
      <c r="F52" s="35" t="n">
        <v>87000</v>
      </c>
      <c r="G52" s="34" t="n">
        <v>725</v>
      </c>
      <c r="H52" s="35" t="n">
        <v>138000</v>
      </c>
      <c r="I52" s="35" t="n">
        <f aca="false">E52-F52</f>
        <v>58000</v>
      </c>
      <c r="J52" s="36" t="n">
        <f aca="false">IF(E52&gt;0,I52/E52,0)</f>
        <v>0.4</v>
      </c>
      <c r="K52" s="35" t="n">
        <f aca="false">E52-H52</f>
        <v>7000</v>
      </c>
      <c r="L52" s="36" t="n">
        <f aca="false">IF(H52&gt;0,K52/H52,0)</f>
        <v>0.0507246376811594</v>
      </c>
    </row>
    <row r="53" customFormat="false" ht="15" hidden="false" customHeight="true" outlineLevel="0" collapsed="false">
      <c r="A53" s="37" t="s">
        <v>30</v>
      </c>
      <c r="B53" s="38" t="n">
        <v>11</v>
      </c>
      <c r="C53" s="38" t="s">
        <v>47</v>
      </c>
      <c r="D53" s="38" t="s">
        <v>46</v>
      </c>
      <c r="E53" s="39" t="n">
        <v>108000</v>
      </c>
      <c r="F53" s="39" t="n">
        <v>66000</v>
      </c>
      <c r="G53" s="38" t="n">
        <v>540</v>
      </c>
      <c r="H53" s="39" t="n">
        <v>105000</v>
      </c>
      <c r="I53" s="39" t="n">
        <f aca="false">E53-F53</f>
        <v>42000</v>
      </c>
      <c r="J53" s="40" t="n">
        <f aca="false">IF(E53&gt;0,I53/E53,0)</f>
        <v>0.388888888888889</v>
      </c>
      <c r="K53" s="39" t="n">
        <f aca="false">E53-H53</f>
        <v>3000</v>
      </c>
      <c r="L53" s="40" t="n">
        <f aca="false">IF(H53&gt;0,K53/H53,0)</f>
        <v>0.0285714285714286</v>
      </c>
    </row>
    <row r="54" customFormat="false" ht="15" hidden="false" customHeight="true" outlineLevel="0" collapsed="false">
      <c r="A54" s="33" t="s">
        <v>30</v>
      </c>
      <c r="B54" s="34" t="n">
        <v>11</v>
      </c>
      <c r="C54" s="34" t="s">
        <v>48</v>
      </c>
      <c r="D54" s="34" t="s">
        <v>49</v>
      </c>
      <c r="E54" s="35" t="n">
        <v>79000</v>
      </c>
      <c r="F54" s="35" t="n">
        <v>50000</v>
      </c>
      <c r="G54" s="34" t="n">
        <v>395</v>
      </c>
      <c r="H54" s="35" t="n">
        <v>76000</v>
      </c>
      <c r="I54" s="35" t="n">
        <f aca="false">E54-F54</f>
        <v>29000</v>
      </c>
      <c r="J54" s="36" t="n">
        <f aca="false">IF(E54&gt;0,I54/E54,0)</f>
        <v>0.367088607594937</v>
      </c>
      <c r="K54" s="35" t="n">
        <f aca="false">E54-H54</f>
        <v>3000</v>
      </c>
      <c r="L54" s="36" t="n">
        <f aca="false">IF(H54&gt;0,K54/H54,0)</f>
        <v>0.0394736842105263</v>
      </c>
    </row>
    <row r="55" customFormat="false" ht="15" hidden="false" customHeight="true" outlineLevel="0" collapsed="false">
      <c r="A55" s="37" t="s">
        <v>30</v>
      </c>
      <c r="B55" s="38" t="n">
        <v>11</v>
      </c>
      <c r="C55" s="38" t="s">
        <v>50</v>
      </c>
      <c r="D55" s="38" t="s">
        <v>49</v>
      </c>
      <c r="E55" s="39" t="n">
        <v>70000</v>
      </c>
      <c r="F55" s="39" t="n">
        <v>45000</v>
      </c>
      <c r="G55" s="38" t="n">
        <v>350</v>
      </c>
      <c r="H55" s="39" t="n">
        <v>67000</v>
      </c>
      <c r="I55" s="39" t="n">
        <f aca="false">E55-F55</f>
        <v>25000</v>
      </c>
      <c r="J55" s="40" t="n">
        <f aca="false">IF(E55&gt;0,I55/E55,0)</f>
        <v>0.357142857142857</v>
      </c>
      <c r="K55" s="39" t="n">
        <f aca="false">E55-H55</f>
        <v>3000</v>
      </c>
      <c r="L55" s="40" t="n">
        <f aca="false">IF(H55&gt;0,K55/H55,0)</f>
        <v>0.0447761194029851</v>
      </c>
    </row>
    <row r="56" customFormat="false" ht="15" hidden="false" customHeight="true" outlineLevel="0" collapsed="false">
      <c r="A56" s="33" t="s">
        <v>30</v>
      </c>
      <c r="B56" s="34" t="n">
        <v>11</v>
      </c>
      <c r="C56" s="34" t="s">
        <v>45</v>
      </c>
      <c r="D56" s="34" t="s">
        <v>51</v>
      </c>
      <c r="E56" s="35" t="n">
        <v>122000</v>
      </c>
      <c r="F56" s="35" t="n">
        <v>75000</v>
      </c>
      <c r="G56" s="34" t="n">
        <v>610</v>
      </c>
      <c r="H56" s="35" t="n">
        <v>118000</v>
      </c>
      <c r="I56" s="35" t="n">
        <f aca="false">E56-F56</f>
        <v>47000</v>
      </c>
      <c r="J56" s="36" t="n">
        <f aca="false">IF(E56&gt;0,I56/E56,0)</f>
        <v>0.385245901639344</v>
      </c>
      <c r="K56" s="35" t="n">
        <f aca="false">E56-H56</f>
        <v>4000</v>
      </c>
      <c r="L56" s="36" t="n">
        <f aca="false">IF(H56&gt;0,K56/H56,0)</f>
        <v>0.0338983050847458</v>
      </c>
    </row>
    <row r="57" customFormat="false" ht="15" hidden="false" customHeight="true" outlineLevel="0" collapsed="false">
      <c r="A57" s="37" t="s">
        <v>31</v>
      </c>
      <c r="B57" s="38" t="n">
        <v>12</v>
      </c>
      <c r="C57" s="38" t="s">
        <v>45</v>
      </c>
      <c r="D57" s="38" t="s">
        <v>46</v>
      </c>
      <c r="E57" s="39" t="n">
        <v>158000</v>
      </c>
      <c r="F57" s="39" t="n">
        <v>95000</v>
      </c>
      <c r="G57" s="38" t="n">
        <v>790</v>
      </c>
      <c r="H57" s="39" t="n">
        <v>150000</v>
      </c>
      <c r="I57" s="39" t="n">
        <f aca="false">E57-F57</f>
        <v>63000</v>
      </c>
      <c r="J57" s="40" t="n">
        <f aca="false">IF(E57&gt;0,I57/E57,0)</f>
        <v>0.39873417721519</v>
      </c>
      <c r="K57" s="39" t="n">
        <f aca="false">E57-H57</f>
        <v>8000</v>
      </c>
      <c r="L57" s="40" t="n">
        <f aca="false">IF(H57&gt;0,K57/H57,0)</f>
        <v>0.0533333333333333</v>
      </c>
    </row>
    <row r="58" customFormat="false" ht="15" hidden="false" customHeight="true" outlineLevel="0" collapsed="false">
      <c r="A58" s="33" t="s">
        <v>31</v>
      </c>
      <c r="B58" s="34" t="n">
        <v>12</v>
      </c>
      <c r="C58" s="34" t="s">
        <v>47</v>
      </c>
      <c r="D58" s="34" t="s">
        <v>46</v>
      </c>
      <c r="E58" s="35" t="n">
        <v>119000</v>
      </c>
      <c r="F58" s="35" t="n">
        <v>73000</v>
      </c>
      <c r="G58" s="34" t="n">
        <v>595</v>
      </c>
      <c r="H58" s="35" t="n">
        <v>115000</v>
      </c>
      <c r="I58" s="35" t="n">
        <f aca="false">E58-F58</f>
        <v>46000</v>
      </c>
      <c r="J58" s="36" t="n">
        <f aca="false">IF(E58&gt;0,I58/E58,0)</f>
        <v>0.38655462184874</v>
      </c>
      <c r="K58" s="35" t="n">
        <f aca="false">E58-H58</f>
        <v>4000</v>
      </c>
      <c r="L58" s="36" t="n">
        <f aca="false">IF(H58&gt;0,K58/H58,0)</f>
        <v>0.0347826086956522</v>
      </c>
    </row>
    <row r="59" customFormat="false" ht="15" hidden="false" customHeight="true" outlineLevel="0" collapsed="false">
      <c r="A59" s="37" t="s">
        <v>31</v>
      </c>
      <c r="B59" s="38" t="n">
        <v>12</v>
      </c>
      <c r="C59" s="38" t="s">
        <v>48</v>
      </c>
      <c r="D59" s="38" t="s">
        <v>49</v>
      </c>
      <c r="E59" s="39" t="n">
        <v>87000</v>
      </c>
      <c r="F59" s="39" t="n">
        <v>55000</v>
      </c>
      <c r="G59" s="38" t="n">
        <v>435</v>
      </c>
      <c r="H59" s="39" t="n">
        <v>84000</v>
      </c>
      <c r="I59" s="39" t="n">
        <f aca="false">E59-F59</f>
        <v>32000</v>
      </c>
      <c r="J59" s="40" t="n">
        <f aca="false">IF(E59&gt;0,I59/E59,0)</f>
        <v>0.367816091954023</v>
      </c>
      <c r="K59" s="39" t="n">
        <f aca="false">E59-H59</f>
        <v>3000</v>
      </c>
      <c r="L59" s="40" t="n">
        <f aca="false">IF(H59&gt;0,K59/H59,0)</f>
        <v>0.0357142857142857</v>
      </c>
    </row>
    <row r="60" customFormat="false" ht="15" hidden="false" customHeight="true" outlineLevel="0" collapsed="false">
      <c r="A60" s="33" t="s">
        <v>31</v>
      </c>
      <c r="B60" s="34" t="n">
        <v>12</v>
      </c>
      <c r="C60" s="34" t="s">
        <v>50</v>
      </c>
      <c r="D60" s="34" t="s">
        <v>49</v>
      </c>
      <c r="E60" s="35" t="n">
        <v>77000</v>
      </c>
      <c r="F60" s="35" t="n">
        <v>49000</v>
      </c>
      <c r="G60" s="34" t="n">
        <v>385</v>
      </c>
      <c r="H60" s="35" t="n">
        <v>74000</v>
      </c>
      <c r="I60" s="35" t="n">
        <f aca="false">E60-F60</f>
        <v>28000</v>
      </c>
      <c r="J60" s="36" t="n">
        <f aca="false">IF(E60&gt;0,I60/E60,0)</f>
        <v>0.363636363636364</v>
      </c>
      <c r="K60" s="35" t="n">
        <f aca="false">E60-H60</f>
        <v>3000</v>
      </c>
      <c r="L60" s="36" t="n">
        <f aca="false">IF(H60&gt;0,K60/H60,0)</f>
        <v>0.0405405405405405</v>
      </c>
    </row>
    <row r="61" customFormat="false" ht="15" hidden="false" customHeight="true" outlineLevel="0" collapsed="false">
      <c r="A61" s="37" t="s">
        <v>31</v>
      </c>
      <c r="B61" s="38" t="n">
        <v>12</v>
      </c>
      <c r="C61" s="38" t="s">
        <v>45</v>
      </c>
      <c r="D61" s="38" t="s">
        <v>51</v>
      </c>
      <c r="E61" s="39" t="n">
        <v>134000</v>
      </c>
      <c r="F61" s="39" t="n">
        <v>82000</v>
      </c>
      <c r="G61" s="38" t="n">
        <v>670</v>
      </c>
      <c r="H61" s="39" t="n">
        <v>129000</v>
      </c>
      <c r="I61" s="39" t="n">
        <f aca="false">E61-F61</f>
        <v>52000</v>
      </c>
      <c r="J61" s="40" t="n">
        <f aca="false">IF(E61&gt;0,I61/E61,0)</f>
        <v>0.388059701492537</v>
      </c>
      <c r="K61" s="39" t="n">
        <f aca="false">E61-H61</f>
        <v>5000</v>
      </c>
      <c r="L61" s="40" t="n">
        <f aca="false">IF(H61&gt;0,K61/H61,0)</f>
        <v>0.0387596899224806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5"/>
    <col collapsed="false" customWidth="true" hidden="false" outlineLevel="0" max="8" min="5" style="1" width="14"/>
  </cols>
  <sheetData>
    <row r="1" customFormat="false" ht="31.5" hidden="false" customHeight="true" outlineLevel="0" collapsed="false">
      <c r="A1" s="41" t="s">
        <v>52</v>
      </c>
      <c r="B1" s="41"/>
      <c r="C1" s="41"/>
      <c r="D1" s="41"/>
      <c r="E1" s="41"/>
      <c r="F1" s="41"/>
      <c r="G1" s="41"/>
      <c r="H1" s="41"/>
    </row>
    <row r="2" customFormat="false" ht="18" hidden="false" customHeight="true" outlineLevel="0" collapsed="false">
      <c r="A2" s="3" t="s">
        <v>53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32" t="s">
        <v>15</v>
      </c>
      <c r="B4" s="32" t="s">
        <v>54</v>
      </c>
      <c r="C4" s="32" t="s">
        <v>55</v>
      </c>
      <c r="D4" s="32" t="s">
        <v>33</v>
      </c>
      <c r="E4" s="32" t="s">
        <v>19</v>
      </c>
      <c r="F4" s="32" t="s">
        <v>56</v>
      </c>
      <c r="G4" s="32" t="s">
        <v>43</v>
      </c>
      <c r="H4" s="32" t="s">
        <v>44</v>
      </c>
    </row>
    <row r="5" customFormat="false" ht="15" hidden="false" customHeight="true" outlineLevel="0" collapsed="false">
      <c r="A5" s="42" t="s">
        <v>20</v>
      </c>
      <c r="B5" s="43" t="n">
        <f aca="false">SUMIF('Raw Data'!B:B,1,'Raw Data'!E:E)</f>
        <v>299000</v>
      </c>
      <c r="C5" s="43" t="n">
        <f aca="false">SUMIF('Raw Data'!B:B,1,'Raw Data'!F:F)</f>
        <v>187000</v>
      </c>
      <c r="D5" s="43" t="n">
        <f aca="false">B5-C5</f>
        <v>112000</v>
      </c>
      <c r="E5" s="40" t="n">
        <f aca="false">IF(B5&gt;0,D5/B5,0)</f>
        <v>0.374581939799331</v>
      </c>
      <c r="F5" s="43" t="n">
        <f aca="false">SUMIF('Raw Data'!B:B,1,'Raw Data'!H:H)</f>
        <v>300000</v>
      </c>
      <c r="G5" s="43" t="n">
        <f aca="false">B5-F5</f>
        <v>-1000</v>
      </c>
      <c r="H5" s="40" t="n">
        <f aca="false">IF(F5&gt;0,G5/F5,0)</f>
        <v>-0.00333333333333333</v>
      </c>
    </row>
    <row r="6" customFormat="false" ht="15" hidden="false" customHeight="true" outlineLevel="0" collapsed="false">
      <c r="A6" s="44" t="s">
        <v>21</v>
      </c>
      <c r="B6" s="45" t="n">
        <f aca="false">SUMIF('Raw Data'!B:B,2,'Raw Data'!E:E)</f>
        <v>313000</v>
      </c>
      <c r="C6" s="45" t="n">
        <f aca="false">SUMIF('Raw Data'!B:B,2,'Raw Data'!F:F)</f>
        <v>195000</v>
      </c>
      <c r="D6" s="45" t="n">
        <f aca="false">B6-C6</f>
        <v>118000</v>
      </c>
      <c r="E6" s="36" t="n">
        <f aca="false">IF(B6&gt;0,D6/B6,0)</f>
        <v>0.376996805111821</v>
      </c>
      <c r="F6" s="45" t="n">
        <f aca="false">SUMIF('Raw Data'!B:B,2,'Raw Data'!H:H)</f>
        <v>314000</v>
      </c>
      <c r="G6" s="45" t="n">
        <f aca="false">B6-F6</f>
        <v>-1000</v>
      </c>
      <c r="H6" s="36" t="n">
        <f aca="false">IF(F6&gt;0,G6/F6,0)</f>
        <v>-0.00318471337579618</v>
      </c>
    </row>
    <row r="7" customFormat="false" ht="15" hidden="false" customHeight="true" outlineLevel="0" collapsed="false">
      <c r="A7" s="42" t="s">
        <v>22</v>
      </c>
      <c r="B7" s="43" t="n">
        <f aca="false">SUMIF('Raw Data'!B:B,3,'Raw Data'!E:E)</f>
        <v>352000</v>
      </c>
      <c r="C7" s="43" t="n">
        <f aca="false">SUMIF('Raw Data'!B:B,3,'Raw Data'!F:F)</f>
        <v>218000</v>
      </c>
      <c r="D7" s="43" t="n">
        <f aca="false">B7-C7</f>
        <v>134000</v>
      </c>
      <c r="E7" s="40" t="n">
        <f aca="false">IF(B7&gt;0,D7/B7,0)</f>
        <v>0.380681818181818</v>
      </c>
      <c r="F7" s="43" t="n">
        <f aca="false">SUMIF('Raw Data'!B:B,3,'Raw Data'!H:H)</f>
        <v>339000</v>
      </c>
      <c r="G7" s="43" t="n">
        <f aca="false">B7-F7</f>
        <v>13000</v>
      </c>
      <c r="H7" s="40" t="n">
        <f aca="false">IF(F7&gt;0,G7/F7,0)</f>
        <v>0.0383480825958702</v>
      </c>
    </row>
    <row r="8" customFormat="false" ht="15" hidden="false" customHeight="true" outlineLevel="0" collapsed="false">
      <c r="A8" s="44" t="s">
        <v>23</v>
      </c>
      <c r="B8" s="45" t="n">
        <f aca="false">SUMIF('Raw Data'!B:B,4,'Raw Data'!E:E)</f>
        <v>376000</v>
      </c>
      <c r="C8" s="45" t="n">
        <f aca="false">SUMIF('Raw Data'!B:B,4,'Raw Data'!F:F)</f>
        <v>233000</v>
      </c>
      <c r="D8" s="45" t="n">
        <f aca="false">B8-C8</f>
        <v>143000</v>
      </c>
      <c r="E8" s="36" t="n">
        <f aca="false">IF(B8&gt;0,D8/B8,0)</f>
        <v>0.38031914893617</v>
      </c>
      <c r="F8" s="45" t="n">
        <f aca="false">SUMIF('Raw Data'!B:B,4,'Raw Data'!H:H)</f>
        <v>361000</v>
      </c>
      <c r="G8" s="45" t="n">
        <f aca="false">B8-F8</f>
        <v>15000</v>
      </c>
      <c r="H8" s="36" t="n">
        <f aca="false">IF(F8&gt;0,G8/F8,0)</f>
        <v>0.0415512465373961</v>
      </c>
    </row>
    <row r="9" customFormat="false" ht="15" hidden="false" customHeight="true" outlineLevel="0" collapsed="false">
      <c r="A9" s="42" t="s">
        <v>24</v>
      </c>
      <c r="B9" s="43" t="n">
        <f aca="false">SUMIF('Raw Data'!B:B,5,'Raw Data'!E:E)</f>
        <v>404000</v>
      </c>
      <c r="C9" s="43" t="n">
        <f aca="false">SUMIF('Raw Data'!B:B,5,'Raw Data'!F:F)</f>
        <v>249000</v>
      </c>
      <c r="D9" s="43" t="n">
        <f aca="false">B9-C9</f>
        <v>155000</v>
      </c>
      <c r="E9" s="40" t="n">
        <f aca="false">IF(B9&gt;0,D9/B9,0)</f>
        <v>0.383663366336634</v>
      </c>
      <c r="F9" s="43" t="n">
        <f aca="false">SUMIF('Raw Data'!B:B,5,'Raw Data'!H:H)</f>
        <v>390000</v>
      </c>
      <c r="G9" s="43" t="n">
        <f aca="false">B9-F9</f>
        <v>14000</v>
      </c>
      <c r="H9" s="40" t="n">
        <f aca="false">IF(F9&gt;0,G9/F9,0)</f>
        <v>0.0358974358974359</v>
      </c>
    </row>
    <row r="10" customFormat="false" ht="15" hidden="false" customHeight="true" outlineLevel="0" collapsed="false">
      <c r="A10" s="44" t="s">
        <v>25</v>
      </c>
      <c r="B10" s="45" t="n">
        <f aca="false">SUMIF('Raw Data'!B:B,6,'Raw Data'!E:E)</f>
        <v>429000</v>
      </c>
      <c r="C10" s="45" t="n">
        <f aca="false">SUMIF('Raw Data'!B:B,6,'Raw Data'!F:F)</f>
        <v>265000</v>
      </c>
      <c r="D10" s="45" t="n">
        <f aca="false">B10-C10</f>
        <v>164000</v>
      </c>
      <c r="E10" s="36" t="n">
        <f aca="false">IF(B10&gt;0,D10/B10,0)</f>
        <v>0.382284382284382</v>
      </c>
      <c r="F10" s="45" t="n">
        <f aca="false">SUMIF('Raw Data'!B:B,6,'Raw Data'!H:H)</f>
        <v>416000</v>
      </c>
      <c r="G10" s="45" t="n">
        <f aca="false">B10-F10</f>
        <v>13000</v>
      </c>
      <c r="H10" s="36" t="n">
        <f aca="false">IF(F10&gt;0,G10/F10,0)</f>
        <v>0.03125</v>
      </c>
    </row>
    <row r="11" customFormat="false" ht="15" hidden="false" customHeight="true" outlineLevel="0" collapsed="false">
      <c r="A11" s="42" t="s">
        <v>26</v>
      </c>
      <c r="B11" s="43" t="n">
        <f aca="false">SUMIF('Raw Data'!B:B,7,'Raw Data'!E:E)</f>
        <v>393000</v>
      </c>
      <c r="C11" s="43" t="n">
        <f aca="false">SUMIF('Raw Data'!B:B,7,'Raw Data'!F:F)</f>
        <v>244000</v>
      </c>
      <c r="D11" s="43" t="n">
        <f aca="false">B11-C11</f>
        <v>149000</v>
      </c>
      <c r="E11" s="40" t="n">
        <f aca="false">IF(B11&gt;0,D11/B11,0)</f>
        <v>0.379134860050891</v>
      </c>
      <c r="F11" s="43" t="n">
        <f aca="false">SUMIF('Raw Data'!B:B,7,'Raw Data'!H:H)</f>
        <v>409000</v>
      </c>
      <c r="G11" s="43" t="n">
        <f aca="false">B11-F11</f>
        <v>-16000</v>
      </c>
      <c r="H11" s="40" t="n">
        <f aca="false">IF(F11&gt;0,G11/F11,0)</f>
        <v>-0.039119804400978</v>
      </c>
    </row>
    <row r="12" customFormat="false" ht="15" hidden="false" customHeight="true" outlineLevel="0" collapsed="false">
      <c r="A12" s="44" t="s">
        <v>27</v>
      </c>
      <c r="B12" s="45" t="n">
        <f aca="false">SUMIF('Raw Data'!B:B,8,'Raw Data'!E:E)</f>
        <v>418000</v>
      </c>
      <c r="C12" s="45" t="n">
        <f aca="false">SUMIF('Raw Data'!B:B,8,'Raw Data'!F:F)</f>
        <v>259000</v>
      </c>
      <c r="D12" s="45" t="n">
        <f aca="false">B12-C12</f>
        <v>159000</v>
      </c>
      <c r="E12" s="36" t="n">
        <f aca="false">IF(B12&gt;0,D12/B12,0)</f>
        <v>0.380382775119617</v>
      </c>
      <c r="F12" s="45" t="n">
        <f aca="false">SUMIF('Raw Data'!B:B,8,'Raw Data'!H:H)</f>
        <v>408000</v>
      </c>
      <c r="G12" s="45" t="n">
        <f aca="false">B12-F12</f>
        <v>10000</v>
      </c>
      <c r="H12" s="36" t="n">
        <f aca="false">IF(F12&gt;0,G12/F12,0)</f>
        <v>0.0245098039215686</v>
      </c>
    </row>
    <row r="13" customFormat="false" ht="15" hidden="false" customHeight="true" outlineLevel="0" collapsed="false">
      <c r="A13" s="42" t="s">
        <v>28</v>
      </c>
      <c r="B13" s="43" t="n">
        <f aca="false">SUMIF('Raw Data'!B:B,9,'Raw Data'!E:E)</f>
        <v>447000</v>
      </c>
      <c r="C13" s="43" t="n">
        <f aca="false">SUMIF('Raw Data'!B:B,9,'Raw Data'!F:F)</f>
        <v>275000</v>
      </c>
      <c r="D13" s="43" t="n">
        <f aca="false">B13-C13</f>
        <v>172000</v>
      </c>
      <c r="E13" s="40" t="n">
        <f aca="false">IF(B13&gt;0,D13/B13,0)</f>
        <v>0.384787472035794</v>
      </c>
      <c r="F13" s="43" t="n">
        <f aca="false">SUMIF('Raw Data'!B:B,9,'Raw Data'!H:H)</f>
        <v>432000</v>
      </c>
      <c r="G13" s="43" t="n">
        <f aca="false">B13-F13</f>
        <v>15000</v>
      </c>
      <c r="H13" s="40" t="n">
        <f aca="false">IF(F13&gt;0,G13/F13,0)</f>
        <v>0.0347222222222222</v>
      </c>
    </row>
    <row r="14" customFormat="false" ht="15" hidden="false" customHeight="true" outlineLevel="0" collapsed="false">
      <c r="A14" s="44" t="s">
        <v>29</v>
      </c>
      <c r="B14" s="45" t="n">
        <f aca="false">SUMIF('Raw Data'!B:B,10,'Raw Data'!E:E)</f>
        <v>478000</v>
      </c>
      <c r="C14" s="45" t="n">
        <f aca="false">SUMIF('Raw Data'!B:B,10,'Raw Data'!F:F)</f>
        <v>294000</v>
      </c>
      <c r="D14" s="45" t="n">
        <f aca="false">B14-C14</f>
        <v>184000</v>
      </c>
      <c r="E14" s="36" t="n">
        <f aca="false">IF(B14&gt;0,D14/B14,0)</f>
        <v>0.384937238493724</v>
      </c>
      <c r="F14" s="45" t="n">
        <f aca="false">SUMIF('Raw Data'!B:B,10,'Raw Data'!H:H)</f>
        <v>461000</v>
      </c>
      <c r="G14" s="45" t="n">
        <f aca="false">B14-F14</f>
        <v>17000</v>
      </c>
      <c r="H14" s="36" t="n">
        <f aca="false">IF(F14&gt;0,G14/F14,0)</f>
        <v>0.0368763557483731</v>
      </c>
    </row>
    <row r="15" customFormat="false" ht="15" hidden="false" customHeight="true" outlineLevel="0" collapsed="false">
      <c r="A15" s="42" t="s">
        <v>30</v>
      </c>
      <c r="B15" s="43" t="n">
        <f aca="false">SUMIF('Raw Data'!B:B,11,'Raw Data'!E:E)</f>
        <v>524000</v>
      </c>
      <c r="C15" s="43" t="n">
        <f aca="false">SUMIF('Raw Data'!B:B,11,'Raw Data'!F:F)</f>
        <v>323000</v>
      </c>
      <c r="D15" s="43" t="n">
        <f aca="false">B15-C15</f>
        <v>201000</v>
      </c>
      <c r="E15" s="40" t="n">
        <f aca="false">IF(B15&gt;0,D15/B15,0)</f>
        <v>0.383587786259542</v>
      </c>
      <c r="F15" s="43" t="n">
        <f aca="false">SUMIF('Raw Data'!B:B,11,'Raw Data'!H:H)</f>
        <v>504000</v>
      </c>
      <c r="G15" s="43" t="n">
        <f aca="false">B15-F15</f>
        <v>20000</v>
      </c>
      <c r="H15" s="40" t="n">
        <f aca="false">IF(F15&gt;0,G15/F15,0)</f>
        <v>0.0396825396825397</v>
      </c>
    </row>
    <row r="16" customFormat="false" ht="15" hidden="false" customHeight="true" outlineLevel="0" collapsed="false">
      <c r="A16" s="44" t="s">
        <v>31</v>
      </c>
      <c r="B16" s="45" t="n">
        <f aca="false">SUMIF('Raw Data'!B:B,12,'Raw Data'!E:E)</f>
        <v>575000</v>
      </c>
      <c r="C16" s="45" t="n">
        <f aca="false">SUMIF('Raw Data'!B:B,12,'Raw Data'!F:F)</f>
        <v>354000</v>
      </c>
      <c r="D16" s="45" t="n">
        <f aca="false">B16-C16</f>
        <v>221000</v>
      </c>
      <c r="E16" s="36" t="n">
        <f aca="false">IF(B16&gt;0,D16/B16,0)</f>
        <v>0.384347826086957</v>
      </c>
      <c r="F16" s="45" t="n">
        <f aca="false">SUMIF('Raw Data'!B:B,12,'Raw Data'!H:H)</f>
        <v>552000</v>
      </c>
      <c r="G16" s="45" t="n">
        <f aca="false">B16-F16</f>
        <v>23000</v>
      </c>
      <c r="H16" s="36" t="n">
        <f aca="false">IF(F16&gt;0,G16/F16,0)</f>
        <v>0.0416666666666667</v>
      </c>
    </row>
    <row r="17" customFormat="false" ht="15" hidden="false" customHeight="true" outlineLevel="0" collapsed="false">
      <c r="A17" s="46" t="s">
        <v>57</v>
      </c>
      <c r="B17" s="47" t="n">
        <f aca="false">SUM(B5:B16)</f>
        <v>5008000</v>
      </c>
      <c r="C17" s="47" t="n">
        <f aca="false">SUM(C5:C16)</f>
        <v>3096000</v>
      </c>
      <c r="D17" s="47" t="n">
        <f aca="false">SUM(D5:D16)</f>
        <v>1912000</v>
      </c>
      <c r="E17" s="48" t="n">
        <f aca="false">IF(B17&gt;0,D17/B17,0)</f>
        <v>0.381789137380192</v>
      </c>
      <c r="F17" s="47" t="n">
        <f aca="false">SUM(F5:F16)</f>
        <v>4886000</v>
      </c>
      <c r="G17" s="47" t="n">
        <f aca="false">SUM(G5:G16)</f>
        <v>122000</v>
      </c>
      <c r="H17" s="48" t="n">
        <f aca="false">IF(F17&gt;0,G17/F17,0)</f>
        <v>0.0249693000409333</v>
      </c>
    </row>
    <row r="19" customFormat="false" ht="21.75" hidden="false" customHeight="true" outlineLevel="0" collapsed="false">
      <c r="A19" s="49" t="s">
        <v>58</v>
      </c>
      <c r="B19" s="49"/>
      <c r="C19" s="49"/>
      <c r="D19" s="49"/>
      <c r="E19" s="49"/>
      <c r="F19" s="49"/>
      <c r="G19" s="49"/>
      <c r="H19" s="49"/>
    </row>
    <row r="20" customFormat="false" ht="15" hidden="false" customHeight="true" outlineLevel="0" collapsed="false">
      <c r="A20" s="50" t="s">
        <v>15</v>
      </c>
      <c r="B20" s="50" t="s">
        <v>16</v>
      </c>
      <c r="C20" s="50" t="s">
        <v>59</v>
      </c>
      <c r="D20" s="50" t="s">
        <v>60</v>
      </c>
      <c r="E20" s="50" t="s">
        <v>61</v>
      </c>
      <c r="F20" s="50"/>
      <c r="G20" s="50"/>
      <c r="H20" s="50"/>
    </row>
    <row r="21" customFormat="false" ht="15" hidden="false" customHeight="true" outlineLevel="0" collapsed="false">
      <c r="A21" s="51" t="s">
        <v>20</v>
      </c>
      <c r="B21" s="52" t="n">
        <f aca="false">B9</f>
        <v>404000</v>
      </c>
      <c r="C21" s="53" t="s">
        <v>62</v>
      </c>
      <c r="D21" s="53" t="s">
        <v>62</v>
      </c>
      <c r="E21" s="54" t="s">
        <v>62</v>
      </c>
    </row>
    <row r="22" customFormat="false" ht="15" hidden="false" customHeight="true" outlineLevel="0" collapsed="false">
      <c r="A22" s="44" t="s">
        <v>21</v>
      </c>
      <c r="B22" s="45" t="n">
        <f aca="false">B10</f>
        <v>429000</v>
      </c>
      <c r="C22" s="45" t="n">
        <f aca="false">B21</f>
        <v>404000</v>
      </c>
      <c r="D22" s="45" t="n">
        <f aca="false">B22-C22</f>
        <v>25000</v>
      </c>
      <c r="E22" s="36" t="n">
        <f aca="false">IF(C22&gt;0,(B22-C22)/C22,0)</f>
        <v>0.0618811881188119</v>
      </c>
    </row>
    <row r="23" customFormat="false" ht="15" hidden="false" customHeight="true" outlineLevel="0" collapsed="false">
      <c r="A23" s="51" t="s">
        <v>22</v>
      </c>
      <c r="B23" s="52" t="n">
        <f aca="false">B11</f>
        <v>393000</v>
      </c>
      <c r="C23" s="52" t="n">
        <f aca="false">B22</f>
        <v>429000</v>
      </c>
      <c r="D23" s="52" t="n">
        <f aca="false">B23-C23</f>
        <v>-36000</v>
      </c>
      <c r="E23" s="55" t="n">
        <f aca="false">IF(C23&gt;0,(B23-C23)/C23,0)</f>
        <v>-0.0839160839160839</v>
      </c>
    </row>
    <row r="24" customFormat="false" ht="15" hidden="false" customHeight="true" outlineLevel="0" collapsed="false">
      <c r="A24" s="44" t="s">
        <v>23</v>
      </c>
      <c r="B24" s="45" t="n">
        <f aca="false">B12</f>
        <v>418000</v>
      </c>
      <c r="C24" s="45" t="n">
        <f aca="false">B23</f>
        <v>393000</v>
      </c>
      <c r="D24" s="45" t="n">
        <f aca="false">B24-C24</f>
        <v>25000</v>
      </c>
      <c r="E24" s="36" t="n">
        <f aca="false">IF(C24&gt;0,(B24-C24)/C24,0)</f>
        <v>0.0636132315521629</v>
      </c>
    </row>
    <row r="25" customFormat="false" ht="15" hidden="false" customHeight="true" outlineLevel="0" collapsed="false">
      <c r="A25" s="51" t="s">
        <v>24</v>
      </c>
      <c r="B25" s="52" t="n">
        <f aca="false">B13</f>
        <v>447000</v>
      </c>
      <c r="C25" s="52" t="n">
        <f aca="false">B24</f>
        <v>418000</v>
      </c>
      <c r="D25" s="52" t="n">
        <f aca="false">B25-C25</f>
        <v>29000</v>
      </c>
      <c r="E25" s="55" t="n">
        <f aca="false">IF(C25&gt;0,(B25-C25)/C25,0)</f>
        <v>0.069377990430622</v>
      </c>
    </row>
    <row r="26" customFormat="false" ht="15" hidden="false" customHeight="true" outlineLevel="0" collapsed="false">
      <c r="A26" s="44" t="s">
        <v>25</v>
      </c>
      <c r="B26" s="45" t="n">
        <f aca="false">B14</f>
        <v>478000</v>
      </c>
      <c r="C26" s="45" t="n">
        <f aca="false">B25</f>
        <v>447000</v>
      </c>
      <c r="D26" s="45" t="n">
        <f aca="false">B26-C26</f>
        <v>31000</v>
      </c>
      <c r="E26" s="36" t="n">
        <f aca="false">IF(C26&gt;0,(B26-C26)/C26,0)</f>
        <v>0.0693512304250559</v>
      </c>
    </row>
    <row r="27" customFormat="false" ht="15" hidden="false" customHeight="true" outlineLevel="0" collapsed="false">
      <c r="A27" s="51" t="s">
        <v>26</v>
      </c>
      <c r="B27" s="52" t="n">
        <f aca="false">B15</f>
        <v>524000</v>
      </c>
      <c r="C27" s="52" t="n">
        <f aca="false">B26</f>
        <v>478000</v>
      </c>
      <c r="D27" s="52" t="n">
        <f aca="false">B27-C27</f>
        <v>46000</v>
      </c>
      <c r="E27" s="55" t="n">
        <f aca="false">IF(C27&gt;0,(B27-C27)/C27,0)</f>
        <v>0.096234309623431</v>
      </c>
    </row>
    <row r="28" customFormat="false" ht="15" hidden="false" customHeight="true" outlineLevel="0" collapsed="false">
      <c r="A28" s="44" t="s">
        <v>27</v>
      </c>
      <c r="B28" s="45" t="n">
        <f aca="false">B16</f>
        <v>575000</v>
      </c>
      <c r="C28" s="45" t="n">
        <f aca="false">B27</f>
        <v>524000</v>
      </c>
      <c r="D28" s="45" t="n">
        <f aca="false">B28-C28</f>
        <v>51000</v>
      </c>
      <c r="E28" s="36" t="n">
        <f aca="false">IF(C28&gt;0,(B28-C28)/C28,0)</f>
        <v>0.0973282442748092</v>
      </c>
    </row>
    <row r="29" customFormat="false" ht="15" hidden="false" customHeight="true" outlineLevel="0" collapsed="false">
      <c r="A29" s="51" t="s">
        <v>28</v>
      </c>
      <c r="B29" s="52" t="n">
        <f aca="false">B17</f>
        <v>5008000</v>
      </c>
      <c r="C29" s="52" t="n">
        <f aca="false">B28</f>
        <v>575000</v>
      </c>
      <c r="D29" s="52" t="n">
        <f aca="false">B29-C29</f>
        <v>4433000</v>
      </c>
      <c r="E29" s="55" t="n">
        <f aca="false">IF(C29&gt;0,(B29-C29)/C29,0)</f>
        <v>7.7095652173913</v>
      </c>
    </row>
    <row r="30" customFormat="false" ht="15" hidden="false" customHeight="true" outlineLevel="0" collapsed="false">
      <c r="A30" s="44" t="s">
        <v>29</v>
      </c>
      <c r="B30" s="45" t="n">
        <f aca="false">B18</f>
        <v>0</v>
      </c>
      <c r="C30" s="45" t="n">
        <f aca="false">B29</f>
        <v>5008000</v>
      </c>
      <c r="D30" s="45" t="n">
        <f aca="false">B30-C30</f>
        <v>-5008000</v>
      </c>
      <c r="E30" s="36" t="n">
        <f aca="false">IF(C30&gt;0,(B30-C30)/C30,0)</f>
        <v>-1</v>
      </c>
    </row>
    <row r="31" customFormat="false" ht="15" hidden="false" customHeight="true" outlineLevel="0" collapsed="false">
      <c r="A31" s="51" t="s">
        <v>30</v>
      </c>
      <c r="B31" s="52" t="n">
        <f aca="false">B19</f>
        <v>0</v>
      </c>
      <c r="C31" s="52" t="n">
        <f aca="false">B30</f>
        <v>0</v>
      </c>
      <c r="D31" s="52" t="n">
        <f aca="false">B31-C31</f>
        <v>0</v>
      </c>
      <c r="E31" s="55" t="n">
        <f aca="false">IF(C31&gt;0,(B31-C31)/C31,0)</f>
        <v>0</v>
      </c>
    </row>
    <row r="32" customFormat="false" ht="15" hidden="false" customHeight="true" outlineLevel="0" collapsed="false">
      <c r="A32" s="44" t="s">
        <v>31</v>
      </c>
      <c r="B32" s="45" t="str">
        <f aca="false">B20</f>
        <v>Revenue</v>
      </c>
      <c r="C32" s="45" t="n">
        <f aca="false">B31</f>
        <v>0</v>
      </c>
      <c r="D32" s="45" t="s">
        <v>62</v>
      </c>
      <c r="E32" s="36" t="n">
        <f aca="false">IF(C32&gt;0,(B32-C32)/C32,0)</f>
        <v>0</v>
      </c>
    </row>
  </sheetData>
  <mergeCells count="3">
    <mergeCell ref="A1:H1"/>
    <mergeCell ref="A2:H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3"/>
  </cols>
  <sheetData>
    <row r="1" customFormat="false" ht="31.5" hidden="false" customHeight="true" outlineLevel="0" collapsed="false">
      <c r="A1" s="41" t="s">
        <v>63</v>
      </c>
      <c r="B1" s="41"/>
      <c r="C1" s="41"/>
      <c r="D1" s="41"/>
      <c r="E1" s="41"/>
      <c r="F1" s="41"/>
      <c r="G1" s="41"/>
      <c r="H1" s="41"/>
      <c r="I1" s="41"/>
    </row>
    <row r="3" customFormat="false" ht="15" hidden="false" customHeight="true" outlineLevel="0" collapsed="false">
      <c r="A3" s="56" t="s">
        <v>64</v>
      </c>
      <c r="B3" s="56"/>
      <c r="C3" s="56"/>
      <c r="D3" s="56"/>
      <c r="E3" s="56"/>
    </row>
    <row r="4" customFormat="false" ht="15" hidden="false" customHeight="true" outlineLevel="0" collapsed="false">
      <c r="A4" s="57" t="s">
        <v>32</v>
      </c>
      <c r="B4" s="57" t="s">
        <v>54</v>
      </c>
      <c r="C4" s="57" t="s">
        <v>55</v>
      </c>
      <c r="D4" s="57" t="s">
        <v>33</v>
      </c>
      <c r="E4" s="57" t="s">
        <v>65</v>
      </c>
    </row>
    <row r="5" customFormat="false" ht="15" hidden="false" customHeight="true" outlineLevel="0" collapsed="false">
      <c r="A5" s="58" t="s">
        <v>46</v>
      </c>
      <c r="B5" s="59" t="n">
        <f aca="false">SUMIF('Raw Data'!D:D,A5,'Raw Data'!E:E)</f>
        <v>2419000</v>
      </c>
      <c r="C5" s="59" t="n">
        <f aca="false">SUMIF('Raw Data'!D:D,A5,'Raw Data'!F:F)</f>
        <v>1470000</v>
      </c>
      <c r="D5" s="59" t="n">
        <f aca="false">B5-C5</f>
        <v>949000</v>
      </c>
      <c r="E5" s="60" t="n">
        <f aca="false">IF(B5&gt;0,D5/B5,0)</f>
        <v>0.392310872261265</v>
      </c>
    </row>
    <row r="6" customFormat="false" ht="15" hidden="false" customHeight="true" outlineLevel="0" collapsed="false">
      <c r="A6" s="44" t="s">
        <v>49</v>
      </c>
      <c r="B6" s="45" t="n">
        <f aca="false">SUMIF('Raw Data'!D:D,A6,'Raw Data'!E:E)</f>
        <v>1406000</v>
      </c>
      <c r="C6" s="45" t="n">
        <f aca="false">SUMIF('Raw Data'!D:D,A6,'Raw Data'!F:F)</f>
        <v>899000</v>
      </c>
      <c r="D6" s="45" t="n">
        <f aca="false">B6-C6</f>
        <v>507000</v>
      </c>
      <c r="E6" s="36" t="n">
        <f aca="false">IF(B6&gt;0,D6/B6,0)</f>
        <v>0.360597439544808</v>
      </c>
    </row>
    <row r="7" customFormat="false" ht="15" hidden="false" customHeight="true" outlineLevel="0" collapsed="false">
      <c r="A7" s="58" t="s">
        <v>51</v>
      </c>
      <c r="B7" s="59" t="n">
        <f aca="false">SUMIF('Raw Data'!D:D,A7,'Raw Data'!E:E)</f>
        <v>1183000</v>
      </c>
      <c r="C7" s="59" t="n">
        <f aca="false">SUMIF('Raw Data'!D:D,A7,'Raw Data'!F:F)</f>
        <v>727000</v>
      </c>
      <c r="D7" s="59" t="n">
        <f aca="false">B7-C7</f>
        <v>456000</v>
      </c>
      <c r="E7" s="60" t="n">
        <f aca="false">IF(B7&gt;0,D7/B7,0)</f>
        <v>0.385460693153001</v>
      </c>
    </row>
    <row r="8" customFormat="false" ht="15" hidden="false" customHeight="true" outlineLevel="0" collapsed="false">
      <c r="A8" s="46" t="s">
        <v>66</v>
      </c>
      <c r="B8" s="47" t="n">
        <f aca="false">SUM(B5:B7)</f>
        <v>5008000</v>
      </c>
      <c r="C8" s="47" t="n">
        <f aca="false">SUM(C5:C7)</f>
        <v>3096000</v>
      </c>
      <c r="D8" s="47" t="n">
        <f aca="false">SUM(D5:D7)</f>
        <v>1912000</v>
      </c>
      <c r="E8" s="48" t="n">
        <f aca="false">IF(B8&gt;0,D8/B8,0)</f>
        <v>0.381789137380192</v>
      </c>
    </row>
    <row r="10" customFormat="false" ht="15" hidden="false" customHeight="true" outlineLevel="0" collapsed="false">
      <c r="A10" s="49" t="s">
        <v>67</v>
      </c>
      <c r="B10" s="49"/>
      <c r="C10" s="49"/>
      <c r="D10" s="49"/>
      <c r="E10" s="49"/>
    </row>
    <row r="11" customFormat="false" ht="15" hidden="false" customHeight="true" outlineLevel="0" collapsed="false">
      <c r="A11" s="50" t="s">
        <v>32</v>
      </c>
      <c r="B11" s="50" t="s">
        <v>54</v>
      </c>
      <c r="C11" s="50" t="s">
        <v>55</v>
      </c>
      <c r="D11" s="50" t="s">
        <v>33</v>
      </c>
      <c r="E11" s="50" t="s">
        <v>65</v>
      </c>
    </row>
    <row r="12" customFormat="false" ht="15" hidden="false" customHeight="true" outlineLevel="0" collapsed="false">
      <c r="A12" s="44" t="s">
        <v>45</v>
      </c>
      <c r="B12" s="45" t="n">
        <f aca="false">SUMIF('Raw Data'!C:C,A12,'Raw Data'!E:E)</f>
        <v>2571000</v>
      </c>
      <c r="C12" s="45" t="n">
        <f aca="false">SUMIF('Raw Data'!C:C,A12,'Raw Data'!F:F)</f>
        <v>1562000</v>
      </c>
      <c r="D12" s="45" t="n">
        <f aca="false">B12-C12</f>
        <v>1009000</v>
      </c>
      <c r="E12" s="36" t="n">
        <f aca="false">IF(B12&gt;0,D12/B12,0)</f>
        <v>0.392454297938545</v>
      </c>
    </row>
    <row r="13" customFormat="false" ht="15" hidden="false" customHeight="true" outlineLevel="0" collapsed="false">
      <c r="A13" s="51" t="s">
        <v>47</v>
      </c>
      <c r="B13" s="52" t="n">
        <f aca="false">SUMIF('Raw Data'!C:C,A13,'Raw Data'!E:E)</f>
        <v>1031000</v>
      </c>
      <c r="C13" s="52" t="n">
        <f aca="false">SUMIF('Raw Data'!C:C,A13,'Raw Data'!F:F)</f>
        <v>635000</v>
      </c>
      <c r="D13" s="52" t="n">
        <f aca="false">B13-C13</f>
        <v>396000</v>
      </c>
      <c r="E13" s="55" t="n">
        <f aca="false">IF(B13&gt;0,D13/B13,0)</f>
        <v>0.384093113482056</v>
      </c>
    </row>
    <row r="14" customFormat="false" ht="15" hidden="false" customHeight="true" outlineLevel="0" collapsed="false">
      <c r="A14" s="44" t="s">
        <v>48</v>
      </c>
      <c r="B14" s="45" t="n">
        <f aca="false">SUMIF('Raw Data'!C:C,A14,'Raw Data'!E:E)</f>
        <v>746000</v>
      </c>
      <c r="C14" s="45" t="n">
        <f aca="false">SUMIF('Raw Data'!C:C,A14,'Raw Data'!F:F)</f>
        <v>472000</v>
      </c>
      <c r="D14" s="45" t="n">
        <f aca="false">B14-C14</f>
        <v>274000</v>
      </c>
      <c r="E14" s="36" t="n">
        <f aca="false">IF(B14&gt;0,D14/B14,0)</f>
        <v>0.367292225201072</v>
      </c>
    </row>
    <row r="15" customFormat="false" ht="15" hidden="false" customHeight="true" outlineLevel="0" collapsed="false">
      <c r="A15" s="51" t="s">
        <v>50</v>
      </c>
      <c r="B15" s="52" t="n">
        <f aca="false">SUMIF('Raw Data'!C:C,A15,'Raw Data'!E:E)</f>
        <v>660000</v>
      </c>
      <c r="C15" s="52" t="n">
        <f aca="false">SUMIF('Raw Data'!C:C,A15,'Raw Data'!F:F)</f>
        <v>427000</v>
      </c>
      <c r="D15" s="52" t="n">
        <f aca="false">B15-C15</f>
        <v>233000</v>
      </c>
      <c r="E15" s="55" t="n">
        <f aca="false">IF(B15&gt;0,D15/B15,0)</f>
        <v>0.353030303030303</v>
      </c>
    </row>
    <row r="16" customFormat="false" ht="15" hidden="false" customHeight="true" outlineLevel="0" collapsed="false">
      <c r="A16" s="46" t="s">
        <v>66</v>
      </c>
      <c r="B16" s="47" t="n">
        <f aca="false">SUM(B12:B15)</f>
        <v>5008000</v>
      </c>
      <c r="C16" s="47" t="n">
        <f aca="false">SUM(C12:C15)</f>
        <v>3096000</v>
      </c>
      <c r="D16" s="47" t="n">
        <f aca="false">SUM(D12:D15)</f>
        <v>1912000</v>
      </c>
      <c r="E16" s="48" t="n">
        <f aca="false">IF(B16&gt;0,D16/B16,0)</f>
        <v>0.381789137380192</v>
      </c>
    </row>
  </sheetData>
  <mergeCells count="3">
    <mergeCell ref="A1:I1"/>
    <mergeCell ref="A3:E3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2026-03-02T22:55:32Z</dcterms:created>
  <dc:creator>openpyxl</dc:creator>
  <dc:description/>
  <dc:language>en-US</dc:language>
  <cp:lastModifiedBy/>
  <dcterms:modified xsi:type="dcterms:W3CDTF">2026-03-02T22:56:12Z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